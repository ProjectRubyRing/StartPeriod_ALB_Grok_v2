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3" autoFilterDateGrouping="1"/>
  </bookViews>
  <sheets>
    <sheet xmlns:r="http://schemas.openxmlformats.org/officeDocument/2006/relationships" name="表紙" sheetId="1" state="visible" r:id="rId1"/>
    <sheet xmlns:r="http://schemas.openxmlformats.org/officeDocument/2006/relationships" name="計算" sheetId="2" state="visible" r:id="rId2"/>
    <sheet xmlns:r="http://schemas.openxmlformats.org/officeDocument/2006/relationships" name="バッファ内訳" sheetId="3" state="visible" r:id="rId3"/>
    <sheet xmlns:r="http://schemas.openxmlformats.org/officeDocument/2006/relationships" name="結論" sheetId="4" state="visible" r:id="rId4"/>
    <sheet xmlns:r="http://schemas.openxmlformats.org/officeDocument/2006/relationships" name="たとえ話" sheetId="5" state="visible" r:id="rId5"/>
    <sheet xmlns:r="http://schemas.openxmlformats.org/officeDocument/2006/relationships" name="時計の仕組み" sheetId="6" state="visible" r:id="rId6"/>
    <sheet xmlns:r="http://schemas.openxmlformats.org/officeDocument/2006/relationships" name="指定できる値" sheetId="7" state="visible" r:id="rId7"/>
    <sheet xmlns:r="http://schemas.openxmlformats.org/officeDocument/2006/relationships" name="パターン比較" sheetId="8" state="visible" r:id="rId8"/>
    <sheet xmlns:r="http://schemas.openxmlformats.org/officeDocument/2006/relationships" name="推奨設定" sheetId="9" state="visible" r:id="rId9"/>
    <sheet xmlns:r="http://schemas.openxmlformats.org/officeDocument/2006/relationships" name="タイムライン" sheetId="10" state="visible" r:id="rId10"/>
    <sheet xmlns:r="http://schemas.openxmlformats.org/officeDocument/2006/relationships" name="300秒の瞬間" sheetId="11" state="visible" r:id="rId11"/>
    <sheet xmlns:r="http://schemas.openxmlformats.org/officeDocument/2006/relationships" name="歴史" sheetId="12" state="visible" r:id="rId12"/>
    <sheet xmlns:r="http://schemas.openxmlformats.org/officeDocument/2006/relationships" name="確認と出典" sheetId="13" state="visible" r:id="rId13"/>
    <sheet xmlns:r="http://schemas.openxmlformats.org/officeDocument/2006/relationships" name="用語" sheetId="14" state="visible" r:id="rId14"/>
  </sheets>
  <definedNames>
    <definedName name="_xlnm._FilterDatabase" localSheetId="0" hidden="1">'表紙'!$A$6:$F$13</definedName>
    <definedName name="_xlnm.Print_Titles" localSheetId="0">'表紙'!$1:$2</definedName>
    <definedName name="_xlnm._FilterDatabase" localSheetId="1" hidden="1">'計算'!$A$5:$F$34</definedName>
    <definedName name="_xlnm.Print_Titles" localSheetId="1">'計算'!$1:$5</definedName>
    <definedName name="_xlnm.Print_Titles" localSheetId="2">'バッファ内訳'!$1:$2</definedName>
    <definedName name="_xlnm.Print_Titles" localSheetId="3">'結論'!$1:$2</definedName>
    <definedName name="_xlnm.Print_Titles" localSheetId="4">'たとえ話'!$1:$4</definedName>
    <definedName name="_xlnm.Print_Titles" localSheetId="5">'時計の仕組み'!$1:$4</definedName>
    <definedName name="_xlnm.Print_Titles" localSheetId="6">'指定できる値'!$1:$5</definedName>
    <definedName name="_xlnm.Print_Titles" localSheetId="7">'パターン比較'!$1:$4</definedName>
    <definedName name="_xlnm.Print_Titles" localSheetId="8">'推奨設定'!$1:$4</definedName>
    <definedName name="_xlnm.Print_Titles" localSheetId="9">'タイムライン'!$1:$5</definedName>
    <definedName name="_xlnm.Print_Titles" localSheetId="10">'300秒の瞬間'!$1:$4</definedName>
    <definedName name="_xlnm._FilterDatabase" localSheetId="11" hidden="1">'歴史'!$A$4:$C$20</definedName>
    <definedName name="_xlnm.Print_Titles" localSheetId="11">'歴史'!$1:$4</definedName>
    <definedName name="_xlnm._FilterDatabase" localSheetId="12" hidden="1">'確認と出典'!$A$24:$C$39</definedName>
    <definedName name="_xlnm.Print_Titles" localSheetId="12">'確認と出典'!$1:$4</definedName>
    <definedName name="_xlnm._FilterDatabase" localSheetId="13" hidden="1">'用語'!$A$3:$C$23</definedName>
    <definedName name="_xlnm.Print_Titles" localSheetId="13">'用語'!$1:$3</definedName>
  </definedNames>
  <calcPr calcId="124519" fullCalcOnLoad="1"/>
</workbook>
</file>

<file path=xl/styles.xml><?xml version="1.0" encoding="utf-8"?>
<styleSheet xmlns="http://schemas.openxmlformats.org/spreadsheetml/2006/main">
  <numFmts count="0"/>
  <fonts count="9">
    <font>
      <name val="Meiryo UI"/>
      <family val="2"/>
      <color theme="1"/>
      <sz val="10"/>
      <scheme val="minor"/>
    </font>
    <font>
      <name val="Meiryo UI"/>
      <b val="1"/>
      <color rgb="00FFFFFF"/>
      <sz val="20"/>
    </font>
    <font>
      <name val="Meiryo UI"/>
      <b val="1"/>
      <color rgb="00FFFFFF"/>
      <sz val="14"/>
    </font>
    <font>
      <name val="Meiryo UI"/>
      <i val="1"/>
      <color rgb="00333333"/>
      <sz val="9"/>
    </font>
    <font>
      <name val="Meiryo UI"/>
      <b val="1"/>
      <color rgb="00FFFFFF"/>
      <sz val="12"/>
    </font>
    <font>
      <name val="Meiryo UI"/>
      <b val="1"/>
      <color rgb="00FFFFFF"/>
      <sz val="10"/>
    </font>
    <font>
      <name val="Meiryo UI"/>
      <color rgb="001F1F1F"/>
      <sz val="10"/>
    </font>
    <font>
      <name val="Meiryo UI"/>
      <b val="1"/>
      <color rgb="00FFFFFF"/>
      <sz val="18"/>
    </font>
    <font>
      <name val="Meiryo UI"/>
      <b val="1"/>
      <color rgb="001F1F1F"/>
      <sz val="10"/>
    </font>
  </fonts>
  <fills count="9">
    <fill>
      <patternFill/>
    </fill>
    <fill>
      <patternFill patternType="gray125"/>
    </fill>
    <fill>
      <patternFill patternType="solid">
        <fgColor rgb="001F1F1F"/>
      </patternFill>
    </fill>
    <fill>
      <patternFill patternType="solid">
        <fgColor rgb="004A4A4A"/>
      </patternFill>
    </fill>
    <fill>
      <patternFill patternType="solid">
        <fgColor rgb="00E8E8E8"/>
      </patternFill>
    </fill>
    <fill>
      <patternFill patternType="solid">
        <fgColor rgb="00333333"/>
      </patternFill>
    </fill>
    <fill>
      <patternFill patternType="solid">
        <fgColor rgb="00FFFFFF"/>
      </patternFill>
    </fill>
    <fill>
      <patternFill patternType="solid">
        <fgColor rgb="00F5F5F5"/>
      </patternFill>
    </fill>
    <fill>
      <patternFill patternType="solid">
        <fgColor rgb="00D9D9D9"/>
      </patternFill>
    </fill>
  </fills>
  <borders count="7">
    <border>
      <left/>
      <right/>
      <top/>
      <bottom/>
      <diagonal/>
    </border>
    <border>
      <left style="thin">
        <color rgb="00B5B5B5"/>
      </left>
      <right style="thin">
        <color rgb="00B5B5B5"/>
      </right>
      <top style="thin">
        <color rgb="00B5B5B5"/>
      </top>
      <bottom style="thin">
        <color rgb="00B5B5B5"/>
      </bottom>
    </border>
    <border>
      <left style="medium">
        <color rgb="001F1F1F"/>
      </left>
      <right style="thin">
        <color rgb="00B5B5B5"/>
      </right>
      <top style="thin">
        <color rgb="00B5B5B5"/>
      </top>
      <bottom style="thin">
        <color rgb="00B5B5B5"/>
      </bottom>
    </border>
    <border>
      <left/>
      <right/>
      <top style="thin">
        <color rgb="00B5B5B5"/>
      </top>
      <bottom/>
      <diagonal/>
    </border>
    <border>
      <left/>
      <right style="thin">
        <color rgb="00B5B5B5"/>
      </right>
      <top style="thin">
        <color rgb="00B5B5B5"/>
      </top>
      <bottom/>
      <diagonal/>
    </border>
    <border>
      <left/>
      <right/>
      <top style="thin">
        <color rgb="00B5B5B5"/>
      </top>
      <bottom style="thin">
        <color rgb="00B5B5B5"/>
      </bottom>
      <diagonal/>
    </border>
    <border>
      <left/>
      <right style="thin">
        <color rgb="00B5B5B5"/>
      </right>
      <top style="thin">
        <color rgb="00B5B5B5"/>
      </top>
      <bottom style="thin">
        <color rgb="00B5B5B5"/>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3"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2" borderId="1" applyAlignment="1" pivotButton="0" quotePrefix="0" xfId="0">
      <alignment horizontal="left" vertical="center" wrapText="1"/>
    </xf>
    <xf numFmtId="0" fontId="6" fillId="8" borderId="1" applyAlignment="1" pivotButton="0" quotePrefix="0" xfId="0">
      <alignment horizontal="left" vertical="center" wrapText="1"/>
    </xf>
    <xf numFmtId="9" fontId="6" fillId="8" borderId="1" applyAlignment="1" pivotButton="0" quotePrefix="0" xfId="0">
      <alignment horizontal="left" vertical="center" wrapText="1"/>
    </xf>
    <xf numFmtId="1" fontId="6" fillId="6" borderId="1" applyAlignment="1" pivotButton="0" quotePrefix="0" xfId="0">
      <alignment horizontal="center" vertical="center" wrapText="1"/>
    </xf>
    <xf numFmtId="1" fontId="6" fillId="7" borderId="1" applyAlignment="1" pivotButton="0" quotePrefix="0" xfId="0">
      <alignment horizontal="center" vertical="center" wrapText="1"/>
    </xf>
    <xf numFmtId="0" fontId="8" fillId="4" borderId="2" applyAlignment="1" pivotButton="0" quotePrefix="0" xfId="0">
      <alignment horizontal="left" vertical="center" wrapText="1"/>
    </xf>
    <xf numFmtId="1" fontId="8" fillId="4" borderId="2"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検討</author>
  </authors>
  <commentList>
    <comment ref="C11" authorId="0" shapeId="0">
      <text>
        <t>この30秒はストップウォッチの結果ではない。5〜15秒で終わることが多い、という一般的な幅の外側に置いた計画値。実測が出たらこのセルだけを差し替える。</t>
      </text>
    </comment>
    <comment ref="C32" authorId="0" shapeId="0">
      <text>
        <t>0.5は、バッファの半分をサンプル外の悪化に割り当てる、という説明用の比率。実測の内訳ではない。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4A4A4A"/>
    <outlinePr summaryBelow="1" summaryRight="1"/>
    <pageSetUpPr fitToPage="1"/>
  </sheetPr>
  <dimension ref="A1:F39"/>
  <sheetViews>
    <sheetView showGridLines="0" zoomScale="110" workbookViewId="0">
      <pane ySplit="4" topLeftCell="A5" activePane="bottomLeft" state="frozen"/>
      <selection pane="bottomLeft" activeCell="A1" sqref="A1"/>
    </sheetView>
  </sheetViews>
  <sheetFormatPr baseColWidth="8" defaultColWidth="14" defaultRowHeight="18"/>
  <cols>
    <col width="28" customWidth="1" min="1" max="1"/>
    <col width="36" customWidth="1" min="2" max="2"/>
    <col width="36" customWidth="1" min="3" max="3"/>
    <col width="36" customWidth="1" min="4" max="4"/>
    <col width="36" customWidth="1" min="5" max="5"/>
    <col width="28" customWidth="1" min="6" max="6"/>
  </cols>
  <sheetData>
    <row r="1" ht="40" customHeight="1">
      <c r="A1" s="1" t="inlineStr">
        <is>
          <t>ECS Fargate の起動タイマー検討</t>
        </is>
      </c>
      <c r="B1" s="1" t="n"/>
      <c r="C1" s="1" t="n"/>
      <c r="D1" s="1" t="n"/>
      <c r="E1" s="1" t="n"/>
      <c r="F1" s="1" t="n"/>
    </row>
    <row r="2" ht="26" customHeight="1">
      <c r="A2" s="2" t="inlineStr">
        <is>
          <t>startPeriod  /  dependsOn  /  ALB の猶予期間</t>
        </is>
      </c>
      <c r="B2" s="2" t="n"/>
      <c r="C2" s="2" t="n"/>
      <c r="D2" s="2" t="n"/>
      <c r="E2" s="2" t="n"/>
      <c r="F2" s="2" t="n"/>
    </row>
    <row r="3" ht="36" customHeight="1">
      <c r="A3" s="3" t="inlineStr">
        <is>
          <t>作成日 2026-10-12。同じ内容の詳しい説明は ecs-healthcheck-startperiod-alb-grace.md。このブックの灰色のセルが入力。白い数値の多くは「計算」シートの式。入力を変えると、バッファとタイムラインが追従する。</t>
        </is>
      </c>
      <c r="B3" s="3" t="n"/>
      <c r="C3" s="3" t="n"/>
      <c r="D3" s="3" t="n"/>
      <c r="E3" s="3" t="n"/>
      <c r="F3" s="3" t="n"/>
    </row>
    <row r="5" ht="24" customHeight="1">
      <c r="A5" s="4" t="inlineStr">
        <is>
          <t>この資料で決めたこと</t>
        </is>
      </c>
      <c r="B5" s="4" t="n"/>
      <c r="C5" s="4" t="n"/>
      <c r="D5" s="4" t="n"/>
      <c r="E5" s="4" t="n"/>
      <c r="F5" s="4" t="n"/>
    </row>
    <row r="6" ht="30" customHeight="1">
      <c r="A6" s="5" t="inlineStr">
        <is>
          <t>項目</t>
        </is>
      </c>
      <c r="B6" s="5" t="inlineStr">
        <is>
          <t>推奨</t>
        </is>
      </c>
      <c r="C6" s="5" t="inlineStr">
        <is>
          <t>単位の意味</t>
        </is>
      </c>
      <c r="D6" s="5" t="inlineStr">
        <is>
          <t>直列にした場合</t>
        </is>
      </c>
      <c r="E6" s="5" t="inlineStr">
        <is>
          <t>現状の値</t>
        </is>
      </c>
      <c r="F6" s="5" t="inlineStr">
        <is>
          <t>判断</t>
        </is>
      </c>
    </row>
    <row r="7" ht="42" customHeight="1">
      <c r="A7" s="6" t="inlineStr">
        <is>
          <t>フロントとバックの関係</t>
        </is>
      </c>
      <c r="B7" s="6" t="inlineStr">
        <is>
          <t>並列。両方とも ADOT が HEALTHY になってから起動</t>
        </is>
      </c>
      <c r="C7" s="6" t="inlineStr">
        <is>
          <t>JBoss 同士は待たない</t>
        </is>
      </c>
      <c r="D7" s="6" t="inlineStr">
        <is>
          <t>フロントがバックの HEALTHY を待つ</t>
        </is>
      </c>
      <c r="E7" s="6" t="inlineStr">
        <is>
          <t>依存なし</t>
        </is>
      </c>
      <c r="F7" s="6" t="inlineStr">
        <is>
          <t>直列は300秒で足りない</t>
        </is>
      </c>
    </row>
    <row r="8" ht="42" customHeight="1">
      <c r="A8" s="7" t="inlineStr">
        <is>
          <t>バックエンド startPeriod</t>
        </is>
      </c>
      <c r="B8" s="7" t="inlineStr">
        <is>
          <t>160秒</t>
        </is>
      </c>
      <c r="C8" s="7" t="inlineStr">
        <is>
          <t>実測最大80秒 × 2</t>
        </is>
      </c>
      <c r="D8" s="7" t="inlineStr">
        <is>
          <t>160秒</t>
        </is>
      </c>
      <c r="E8" s="7" t="inlineStr">
        <is>
          <t>210秒</t>
        </is>
      </c>
      <c r="F8" s="7" t="inlineStr">
        <is>
          <t>見積そのもの</t>
        </is>
      </c>
    </row>
    <row r="9" ht="42" customHeight="1">
      <c r="A9" s="6" t="inlineStr">
        <is>
          <t>フロント startPeriod</t>
        </is>
      </c>
      <c r="B9" s="6" t="inlineStr">
        <is>
          <t>160秒</t>
        </is>
      </c>
      <c r="C9" s="6" t="inlineStr">
        <is>
          <t>自分の140秒と、検査が待つバックの160秒の長いほう</t>
        </is>
      </c>
      <c r="D9" s="6" t="inlineStr">
        <is>
          <t>140秒。時計が後ろにずれる</t>
        </is>
      </c>
      <c r="E9" s="6" t="inlineStr">
        <is>
          <t>210秒</t>
        </is>
      </c>
      <c r="F9" s="6" t="inlineStr">
        <is>
          <t>合成値にしない</t>
        </is>
      </c>
    </row>
    <row r="10" ht="42" customHeight="1">
      <c r="A10" s="7" t="inlineStr">
        <is>
          <t>ADOT startPeriod / startTimeout</t>
        </is>
      </c>
      <c r="B10" s="7" t="inlineStr">
        <is>
          <t>30秒 / 60秒</t>
        </is>
      </c>
      <c r="C10" s="7" t="inlineStr">
        <is>
          <t>未実測の計画値と、待ちの打ち切り</t>
        </is>
      </c>
      <c r="D10" s="7" t="inlineStr">
        <is>
          <t>同じ</t>
        </is>
      </c>
      <c r="E10" s="7" t="inlineStr">
        <is>
          <t>未提示</t>
        </is>
      </c>
      <c r="F10" s="7" t="inlineStr">
        <is>
          <t>JBoss の160秒には足さない</t>
        </is>
      </c>
    </row>
    <row r="11" ht="42" customHeight="1">
      <c r="A11" s="6" t="inlineStr">
        <is>
          <t>CloudWatch Agent startPeriod</t>
        </is>
      </c>
      <c r="B11" s="6" t="inlineStr">
        <is>
          <t>30秒</t>
        </is>
      </c>
      <c r="C11" s="6" t="inlineStr">
        <is>
          <t>プロセス確認。誰も待たない</t>
        </is>
      </c>
      <c r="D11" s="6" t="inlineStr">
        <is>
          <t>同じ</t>
        </is>
      </c>
      <c r="E11" s="6" t="inlineStr">
        <is>
          <t>未提示</t>
        </is>
      </c>
      <c r="F11" s="6" t="inlineStr">
        <is>
          <t>コマンドはイメージ内に実在するもの</t>
        </is>
      </c>
    </row>
    <row r="12" ht="42" customHeight="1">
      <c r="A12" s="7" t="inlineStr">
        <is>
          <t>ECS の猶予</t>
        </is>
      </c>
      <c r="B12" s="7" t="inlineStr">
        <is>
          <t>300秒</t>
        </is>
      </c>
      <c r="C12" s="7" t="inlineStr">
        <is>
          <t>見通し210秒、余り90秒</t>
        </is>
      </c>
      <c r="D12" s="7" t="inlineStr">
        <is>
          <t>420秒</t>
        </is>
      </c>
      <c r="E12" s="7" t="inlineStr">
        <is>
          <t>300秒</t>
        </is>
      </c>
      <c r="F12" s="7" t="inlineStr">
        <is>
          <t>ALB の検査開始を遅らせる値ではない</t>
        </is>
      </c>
    </row>
    <row r="13" ht="42" customHeight="1">
      <c r="A13" s="6" t="inlineStr">
        <is>
          <t>ALB interval / healthy / unhealthy</t>
        </is>
      </c>
      <c r="B13" s="6" t="inlineStr">
        <is>
          <t>10 / 2 / 3</t>
        </is>
      </c>
      <c r="C13" s="6" t="inlineStr">
        <is>
          <t>平常時の切り離しは約30秒</t>
        </is>
      </c>
      <c r="D13" s="6" t="inlineStr">
        <is>
          <t>同じ</t>
        </is>
      </c>
      <c r="E13" s="6" t="inlineStr">
        <is>
          <t>未提示</t>
        </is>
      </c>
      <c r="F13" s="6" t="inlineStr">
        <is>
          <t>unhealthy を10にすると平常時も遅い</t>
        </is>
      </c>
    </row>
    <row r="15" ht="24" customHeight="1">
      <c r="A15" s="4" t="inlineStr">
        <is>
          <t>色の意味</t>
        </is>
      </c>
      <c r="B15" s="4" t="n"/>
      <c r="C15" s="4" t="n"/>
      <c r="D15" s="4" t="n"/>
      <c r="E15" s="4" t="n"/>
      <c r="F15" s="4" t="n"/>
    </row>
    <row r="16" ht="30" customHeight="1">
      <c r="A16" s="5" t="inlineStr">
        <is>
          <t>色</t>
        </is>
      </c>
      <c r="B16" s="5" t="inlineStr">
        <is>
          <t>使う場所</t>
        </is>
      </c>
      <c r="C16" s="5" t="inlineStr">
        <is>
          <t>読み方</t>
        </is>
      </c>
      <c r="D16" s="5" t="inlineStr"/>
      <c r="E16" s="5" t="inlineStr"/>
      <c r="F16" s="5" t="inlineStr"/>
    </row>
    <row r="17" ht="28" customHeight="1">
      <c r="A17" s="6" t="inlineStr">
        <is>
          <t>黒</t>
        </is>
      </c>
      <c r="B17" s="6" t="inlineStr">
        <is>
          <t>見出し。シート名と大見出し</t>
        </is>
      </c>
      <c r="C17" s="6" t="inlineStr">
        <is>
          <t>文字は白</t>
        </is>
      </c>
    </row>
    <row r="18" ht="28" customHeight="1">
      <c r="A18" s="7" t="inlineStr">
        <is>
          <t>濃い灰</t>
        </is>
      </c>
      <c r="B18" s="7" t="inlineStr">
        <is>
          <t>列見出し</t>
        </is>
      </c>
      <c r="C18" s="7" t="inlineStr">
        <is>
          <t>文字は白</t>
        </is>
      </c>
    </row>
    <row r="19" ht="28" customHeight="1">
      <c r="A19" s="6" t="inlineStr">
        <is>
          <t>中間の灰</t>
        </is>
      </c>
      <c r="B19" s="6" t="inlineStr">
        <is>
          <t>注記、推奨行の地</t>
        </is>
      </c>
      <c r="C19" s="6" t="inlineStr">
        <is>
          <t>強調は太字と左の太線。色相は変えない</t>
        </is>
      </c>
    </row>
    <row r="20" ht="28" customHeight="1">
      <c r="A20" s="7" t="inlineStr">
        <is>
          <t>薄い灰の入力セル</t>
        </is>
      </c>
      <c r="B20" s="7" t="inlineStr">
        <is>
          <t>変えてよい実測と方針</t>
        </is>
      </c>
      <c r="C20" s="7" t="inlineStr">
        <is>
          <t>「計算」シートの C 列</t>
        </is>
      </c>
    </row>
    <row r="21" ht="28" customHeight="1">
      <c r="A21" s="6" t="inlineStr">
        <is>
          <t>白とごく薄い灰の縞</t>
        </is>
      </c>
      <c r="B21" s="6" t="inlineStr">
        <is>
          <t>本文</t>
        </is>
      </c>
      <c r="C21" s="6" t="inlineStr">
        <is>
          <t>1行おき</t>
        </is>
      </c>
    </row>
    <row r="23" ht="24" customHeight="1">
      <c r="A23" s="4" t="inlineStr">
        <is>
          <t>読み順</t>
        </is>
      </c>
      <c r="B23" s="4" t="n"/>
      <c r="C23" s="4" t="n"/>
      <c r="D23" s="4" t="n"/>
      <c r="E23" s="4" t="n"/>
      <c r="F23" s="4" t="n"/>
    </row>
    <row r="24" ht="30" customHeight="1">
      <c r="A24" s="5" t="inlineStr">
        <is>
          <t>順</t>
        </is>
      </c>
      <c r="B24" s="5" t="inlineStr">
        <is>
          <t>シート</t>
        </is>
      </c>
      <c r="C24" s="5" t="inlineStr">
        <is>
          <t>内容</t>
        </is>
      </c>
      <c r="D24" s="5" t="inlineStr"/>
      <c r="E24" s="5" t="inlineStr"/>
      <c r="F24" s="5" t="inlineStr"/>
    </row>
    <row r="25" ht="22" customHeight="1">
      <c r="A25" s="6" t="inlineStr">
        <is>
          <t>1</t>
        </is>
      </c>
      <c r="B25" s="6" t="inlineStr">
        <is>
          <t>結論</t>
        </is>
      </c>
      <c r="C25" s="6" t="inlineStr">
        <is>
          <t>推奨値と、300秒で起きること</t>
        </is>
      </c>
    </row>
    <row r="26" ht="22" customHeight="1">
      <c r="A26" s="7" t="inlineStr">
        <is>
          <t>2</t>
        </is>
      </c>
      <c r="B26" s="7" t="inlineStr">
        <is>
          <t>計算</t>
        </is>
      </c>
      <c r="C26" s="7" t="inlineStr">
        <is>
          <t>入力と、すべての秒数の式</t>
        </is>
      </c>
    </row>
    <row r="27" ht="22" customHeight="1">
      <c r="A27" s="6" t="inlineStr">
        <is>
          <t>3</t>
        </is>
      </c>
      <c r="B27" s="6" t="inlineStr">
        <is>
          <t>バッファ内訳</t>
        </is>
      </c>
      <c r="C27" s="6" t="inlineStr">
        <is>
          <t>2倍の内側を秒で分解する</t>
        </is>
      </c>
    </row>
    <row r="28" ht="22" customHeight="1">
      <c r="A28" s="7" t="inlineStr">
        <is>
          <t>4</t>
        </is>
      </c>
      <c r="B28" s="7" t="inlineStr">
        <is>
          <t>たとえ話</t>
        </is>
      </c>
      <c r="C28" s="7" t="inlineStr">
        <is>
          <t>学校の朝の準備で仕組みを見る</t>
        </is>
      </c>
    </row>
    <row r="29" ht="22" customHeight="1">
      <c r="A29" s="6" t="inlineStr">
        <is>
          <t>5</t>
        </is>
      </c>
      <c r="B29" s="6" t="inlineStr">
        <is>
          <t>時計の仕組み</t>
        </is>
      </c>
      <c r="C29" s="6" t="inlineStr">
        <is>
          <t>誰がどの秒を数えるか</t>
        </is>
      </c>
    </row>
    <row r="30" ht="22" customHeight="1">
      <c r="A30" s="7" t="inlineStr">
        <is>
          <t>6</t>
        </is>
      </c>
      <c r="B30" s="7" t="inlineStr">
        <is>
          <t>指定できる値</t>
        </is>
      </c>
      <c r="C30" s="7" t="inlineStr">
        <is>
          <t>API の上限と初期値</t>
        </is>
      </c>
    </row>
    <row r="31" ht="22" customHeight="1">
      <c r="A31" s="6" t="inlineStr">
        <is>
          <t>7</t>
        </is>
      </c>
      <c r="B31" s="6" t="inlineStr">
        <is>
          <t>パターン比較</t>
        </is>
      </c>
      <c r="C31" s="6" t="inlineStr">
        <is>
          <t>現状、推奨、直列、合成、依存なし</t>
        </is>
      </c>
    </row>
    <row r="32" ht="22" customHeight="1">
      <c r="A32" s="7" t="inlineStr">
        <is>
          <t>8</t>
        </is>
      </c>
      <c r="B32" s="7" t="inlineStr">
        <is>
          <t>推奨設定</t>
        </is>
      </c>
      <c r="C32" s="7" t="inlineStr">
        <is>
          <t>タスク定義に書く値とコマンド</t>
        </is>
      </c>
    </row>
    <row r="33" ht="22" customHeight="1">
      <c r="A33" s="6" t="inlineStr">
        <is>
          <t>9</t>
        </is>
      </c>
      <c r="B33" s="6" t="inlineStr">
        <is>
          <t>タイムライン</t>
        </is>
      </c>
      <c r="C33" s="6" t="inlineStr">
        <is>
          <t>時刻ごとの状態</t>
        </is>
      </c>
    </row>
    <row r="34" ht="22" customHeight="1">
      <c r="A34" s="7" t="inlineStr">
        <is>
          <t>10</t>
        </is>
      </c>
      <c r="B34" s="7" t="inlineStr">
        <is>
          <t>300秒の瞬間</t>
        </is>
      </c>
      <c r="C34" s="7" t="inlineStr">
        <is>
          <t>依頼文の場面を2つのパターンで並べる</t>
        </is>
      </c>
    </row>
    <row r="35" ht="22" customHeight="1">
      <c r="A35" s="6" t="inlineStr">
        <is>
          <t>11</t>
        </is>
      </c>
      <c r="B35" s="6" t="inlineStr">
        <is>
          <t>歴史</t>
        </is>
      </c>
      <c r="C35" s="6" t="inlineStr">
        <is>
          <t>なぜこのタイマーが別々にできたか</t>
        </is>
      </c>
    </row>
    <row r="36" ht="22" customHeight="1">
      <c r="A36" s="7" t="inlineStr">
        <is>
          <t>12</t>
        </is>
      </c>
      <c r="B36" s="7" t="inlineStr">
        <is>
          <t>確認と出典</t>
        </is>
      </c>
      <c r="C36" s="7" t="inlineStr">
        <is>
          <t>未確定と、次に見るもの</t>
        </is>
      </c>
    </row>
    <row r="37" ht="22" customHeight="1">
      <c r="A37" s="6" t="inlineStr">
        <is>
          <t>13</t>
        </is>
      </c>
      <c r="B37" s="6" t="inlineStr">
        <is>
          <t>用語</t>
        </is>
      </c>
      <c r="C37" s="6" t="inlineStr">
        <is>
          <t>たとえと公式名の対応</t>
        </is>
      </c>
    </row>
    <row r="39" ht="36" customHeight="1">
      <c r="A39" s="3" t="inlineStr">
        <is>
          <t>ワークスペースにタスク定義は無かった。現状値は依頼文に書かれていたものだけ。ADOT の30秒は実測ではなく計画値。JBoss の20〜80秒、15〜70秒は依頼文の実測として扱っている。</t>
        </is>
      </c>
      <c r="B39" s="3" t="n"/>
      <c r="C39" s="3" t="n"/>
      <c r="D39" s="3" t="n"/>
      <c r="E39" s="3" t="n"/>
      <c r="F39" s="3" t="n"/>
    </row>
  </sheetData>
  <autoFilter ref="A6:F13"/>
  <mergeCells count="7">
    <mergeCell ref="A2:F2"/>
    <mergeCell ref="A1:F1"/>
    <mergeCell ref="A5:F5"/>
    <mergeCell ref="A23:F23"/>
    <mergeCell ref="A3:F3"/>
    <mergeCell ref="A39:F39"/>
    <mergeCell ref="A15:F15"/>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猶予&amp;C&amp;R&amp;"Meiryo UI"&amp;9 表紙</oddHeader>
    <oddFooter>&amp;L&amp;"Meiryo UI"&amp;8 2026-10-12  検討資料  モノトーン  Meiryo UI&amp;R&amp;"Meiryo UI"&amp;8 ページ &amp;P / &amp;N</oddFooter>
    <evenHeader/>
    <evenFooter/>
    <firstHeader/>
    <firstFooter/>
  </headerFooter>
</worksheet>
</file>

<file path=xl/worksheets/sheet2.xml><?xml version="1.0" encoding="utf-8"?>
<worksheet xmlns="http://schemas.openxmlformats.org/spreadsheetml/2006/main">
  <sheetPr>
    <tabColor rgb="004A4A4A"/>
    <outlinePr summaryBelow="1" summaryRight="1"/>
    <pageSetUpPr fitToPage="1"/>
  </sheetPr>
  <dimension ref="A1:F77"/>
  <sheetViews>
    <sheetView showGridLines="0" zoomScale="110" workbookViewId="0">
      <pane ySplit="5" topLeftCell="A6" activePane="bottomLeft" state="frozen"/>
      <selection pane="bottomLeft" activeCell="A1" sqref="A1"/>
    </sheetView>
  </sheetViews>
  <sheetFormatPr baseColWidth="8" defaultColWidth="14" defaultRowHeight="18"/>
  <cols>
    <col width="42" customWidth="1" min="1" max="1"/>
    <col width="28" customWidth="1" min="2" max="2"/>
    <col width="18" customWidth="1" min="3" max="3"/>
    <col width="22" customWidth="1" min="4" max="4"/>
    <col width="62" customWidth="1" min="5" max="5"/>
    <col width="36" customWidth="1" min="6" max="6"/>
  </cols>
  <sheetData>
    <row r="1" ht="36" customHeight="1">
      <c r="A1" s="8" t="inlineStr">
        <is>
          <t>入力と計算    灰色が入力、白の数値は式</t>
        </is>
      </c>
      <c r="B1" s="8" t="n"/>
      <c r="C1" s="8" t="n"/>
      <c r="D1" s="8" t="n"/>
      <c r="E1" s="8" t="n"/>
      <c r="F1" s="8" t="n"/>
    </row>
    <row r="2" ht="28" customHeight="1">
      <c r="A2" s="3" t="inlineStr">
        <is>
          <t>C列の灰色を変えると、このシートの式と、他シートからの参照が変わる。式は最大実測×倍率、max、interval×閾値。</t>
        </is>
      </c>
      <c r="B2" s="3" t="n"/>
      <c r="C2" s="3" t="n"/>
      <c r="D2" s="3" t="n"/>
      <c r="E2" s="3" t="n"/>
      <c r="F2" s="3" t="n"/>
    </row>
    <row r="4" ht="24" customHeight="1">
      <c r="A4" s="4" t="inlineStr">
        <is>
          <t>入力</t>
        </is>
      </c>
      <c r="B4" s="4" t="n"/>
      <c r="C4" s="4" t="n"/>
      <c r="D4" s="4" t="n"/>
      <c r="E4" s="4" t="n"/>
      <c r="F4" s="4" t="n"/>
    </row>
    <row r="5" ht="30" customHeight="1">
      <c r="A5" s="5" t="inlineStr">
        <is>
          <t>項目</t>
        </is>
      </c>
      <c r="B5" s="5" t="inlineStr">
        <is>
          <t>名前</t>
        </is>
      </c>
      <c r="C5" s="5" t="inlineStr">
        <is>
          <t>値</t>
        </is>
      </c>
      <c r="D5" s="5" t="inlineStr">
        <is>
          <t>単位</t>
        </is>
      </c>
      <c r="E5" s="5" t="inlineStr">
        <is>
          <t>意味</t>
        </is>
      </c>
      <c r="F5" s="5" t="inlineStr">
        <is>
          <t>根拠</t>
        </is>
      </c>
    </row>
    <row r="6" ht="30" customHeight="1">
      <c r="A6" s="6" t="inlineStr">
        <is>
          <t>バックエンド実測最小</t>
        </is>
      </c>
      <c r="B6" s="6" t="inlineStr">
        <is>
          <t>back_min</t>
        </is>
      </c>
      <c r="C6" s="9" t="n">
        <v>20</v>
      </c>
      <c r="D6" s="6" t="inlineStr">
        <is>
          <t>秒</t>
        </is>
      </c>
      <c r="E6" s="6" t="inlineStr">
        <is>
          <t>起動開始ログからデプロイ完了ログの最短</t>
        </is>
      </c>
      <c r="F6" s="6" t="inlineStr">
        <is>
          <t>依頼文</t>
        </is>
      </c>
    </row>
    <row r="7" ht="30" customHeight="1">
      <c r="A7" s="7" t="inlineStr">
        <is>
          <t>バックエンド実測最大</t>
        </is>
      </c>
      <c r="B7" s="7" t="inlineStr">
        <is>
          <t>back_max</t>
        </is>
      </c>
      <c r="C7" s="9" t="n">
        <v>80</v>
      </c>
      <c r="D7" s="7" t="inlineStr">
        <is>
          <t>秒</t>
        </is>
      </c>
      <c r="E7" s="7" t="inlineStr">
        <is>
          <t>同じ区間の最長</t>
        </is>
      </c>
      <c r="F7" s="7" t="inlineStr">
        <is>
          <t>依頼文</t>
        </is>
      </c>
    </row>
    <row r="8" ht="30" customHeight="1">
      <c r="A8" s="6" t="inlineStr">
        <is>
          <t>フロント実測最小</t>
        </is>
      </c>
      <c r="B8" s="6" t="inlineStr">
        <is>
          <t>front_min</t>
        </is>
      </c>
      <c r="C8" s="9" t="n">
        <v>15</v>
      </c>
      <c r="D8" s="6" t="inlineStr">
        <is>
          <t>秒</t>
        </is>
      </c>
      <c r="E8" s="6" t="inlineStr">
        <is>
          <t>同じ区間の最短</t>
        </is>
      </c>
      <c r="F8" s="6" t="inlineStr">
        <is>
          <t>依頼文</t>
        </is>
      </c>
    </row>
    <row r="9" ht="30" customHeight="1">
      <c r="A9" s="7" t="inlineStr">
        <is>
          <t>フロント実測最大</t>
        </is>
      </c>
      <c r="B9" s="7" t="inlineStr">
        <is>
          <t>front_max</t>
        </is>
      </c>
      <c r="C9" s="9" t="n">
        <v>70</v>
      </c>
      <c r="D9" s="7" t="inlineStr">
        <is>
          <t>秒</t>
        </is>
      </c>
      <c r="E9" s="7" t="inlineStr">
        <is>
          <t>同じ区間の最長</t>
        </is>
      </c>
      <c r="F9" s="7" t="inlineStr">
        <is>
          <t>依頼文</t>
        </is>
      </c>
    </row>
    <row r="10" ht="30" customHeight="1">
      <c r="A10" s="6" t="inlineStr">
        <is>
          <t>見積倍率</t>
        </is>
      </c>
      <c r="B10" s="6" t="inlineStr">
        <is>
          <t>multiplier</t>
        </is>
      </c>
      <c r="C10" s="9" t="n">
        <v>2</v>
      </c>
      <c r="D10" s="6" t="inlineStr">
        <is>
          <t>倍</t>
        </is>
      </c>
      <c r="E10" s="6" t="inlineStr">
        <is>
          <t>最大実測を何倍にするか</t>
        </is>
      </c>
      <c r="F10" s="6" t="inlineStr">
        <is>
          <t>依頼文の方針</t>
        </is>
      </c>
    </row>
    <row r="11" ht="30" customHeight="1">
      <c r="A11" s="7" t="inlineStr">
        <is>
          <t>ADOT計画値</t>
        </is>
      </c>
      <c r="B11" s="7" t="inlineStr">
        <is>
          <t>adot_plan</t>
        </is>
      </c>
      <c r="C11" s="9" t="n">
        <v>30</v>
      </c>
      <c r="D11" s="7" t="inlineStr">
        <is>
          <t>秒</t>
        </is>
      </c>
      <c r="E11" s="7" t="inlineStr">
        <is>
          <t>13133が成功するまでの計画値。未実測</t>
        </is>
      </c>
      <c r="F11" s="7" t="inlineStr">
        <is>
          <t>仮定A1</t>
        </is>
      </c>
    </row>
    <row r="12" ht="30" customHeight="1">
      <c r="A12" s="6" t="inlineStr">
        <is>
          <t>ADOTのstartTimeout</t>
        </is>
      </c>
      <c r="B12" s="6" t="inlineStr">
        <is>
          <t>adot_start_timeout</t>
        </is>
      </c>
      <c r="C12" s="9" t="n">
        <v>60</v>
      </c>
      <c r="D12" s="6" t="inlineStr">
        <is>
          <t>秒</t>
        </is>
      </c>
      <c r="E12" s="6" t="inlineStr">
        <is>
          <t>これを超えてHEALTHYにならなければ待っている側は起動しない</t>
        </is>
      </c>
      <c r="F12" s="6" t="inlineStr">
        <is>
          <t>Fargate上限120の内側</t>
        </is>
      </c>
    </row>
    <row r="13" ht="30" customHeight="1">
      <c r="A13" s="7" t="inlineStr">
        <is>
          <t>バックinterval</t>
        </is>
      </c>
      <c r="B13" s="7" t="inlineStr">
        <is>
          <t>back_interval</t>
        </is>
      </c>
      <c r="C13" s="9" t="n">
        <v>15</v>
      </c>
      <c r="D13" s="7" t="inlineStr">
        <is>
          <t>秒</t>
        </is>
      </c>
      <c r="E13" s="7" t="inlineStr">
        <is>
          <t>バックエンドの検査間隔</t>
        </is>
      </c>
      <c r="F13" s="7" t="inlineStr">
        <is>
          <t>推奨</t>
        </is>
      </c>
    </row>
    <row r="14" ht="30" customHeight="1">
      <c r="A14" s="6" t="inlineStr">
        <is>
          <t>フロントinterval</t>
        </is>
      </c>
      <c r="B14" s="6" t="inlineStr">
        <is>
          <t>front_interval</t>
        </is>
      </c>
      <c r="C14" s="9" t="n">
        <v>15</v>
      </c>
      <c r="D14" s="6" t="inlineStr">
        <is>
          <t>秒</t>
        </is>
      </c>
      <c r="E14" s="6" t="inlineStr">
        <is>
          <t>フロントの検査間隔</t>
        </is>
      </c>
      <c r="F14" s="6" t="inlineStr">
        <is>
          <t>推奨</t>
        </is>
      </c>
    </row>
    <row r="15" ht="30" customHeight="1">
      <c r="A15" s="7" t="inlineStr">
        <is>
          <t>ADOT interval</t>
        </is>
      </c>
      <c r="B15" s="7" t="inlineStr">
        <is>
          <t>adot_interval</t>
        </is>
      </c>
      <c r="C15" s="9" t="n">
        <v>5</v>
      </c>
      <c r="D15" s="7" t="inlineStr">
        <is>
          <t>秒</t>
        </is>
      </c>
      <c r="E15" s="7" t="inlineStr">
        <is>
          <t>サイドカーは短くしてHEALTHYの観測を早くする</t>
        </is>
      </c>
      <c r="F15" s="7" t="inlineStr">
        <is>
          <t>API最小は5</t>
        </is>
      </c>
    </row>
    <row r="16" ht="30" customHeight="1">
      <c r="A16" s="6" t="inlineStr">
        <is>
          <t>CW interval</t>
        </is>
      </c>
      <c r="B16" s="6" t="inlineStr">
        <is>
          <t>cw_interval</t>
        </is>
      </c>
      <c r="C16" s="9" t="n">
        <v>10</v>
      </c>
      <c r="D16" s="6" t="inlineStr">
        <is>
          <t>秒</t>
        </is>
      </c>
      <c r="E16" s="6" t="inlineStr">
        <is>
          <t>CloudWatch Agentの検査間隔</t>
        </is>
      </c>
      <c r="F16" s="6" t="inlineStr">
        <is>
          <t>推奨</t>
        </is>
      </c>
    </row>
    <row r="17" ht="30" customHeight="1">
      <c r="A17" s="7" t="inlineStr">
        <is>
          <t>ALB interval</t>
        </is>
      </c>
      <c r="B17" s="7" t="inlineStr">
        <is>
          <t>alb_interval</t>
        </is>
      </c>
      <c r="C17" s="9" t="n">
        <v>10</v>
      </c>
      <c r="D17" s="7" t="inlineStr">
        <is>
          <t>秒</t>
        </is>
      </c>
      <c r="E17" s="7" t="inlineStr">
        <is>
          <t>ターゲットグループの検査間隔</t>
        </is>
      </c>
      <c r="F17" s="7" t="inlineStr">
        <is>
          <t>推奨</t>
        </is>
      </c>
    </row>
    <row r="18" ht="30" customHeight="1">
      <c r="A18" s="6" t="inlineStr">
        <is>
          <t>ALB healthy閾値</t>
        </is>
      </c>
      <c r="B18" s="6" t="inlineStr">
        <is>
          <t>alb_healthy</t>
        </is>
      </c>
      <c r="C18" s="9" t="n">
        <v>2</v>
      </c>
      <c r="D18" s="6" t="inlineStr">
        <is>
          <t>回</t>
        </is>
      </c>
      <c r="E18" s="6" t="inlineStr">
        <is>
          <t>unhealthyから戻る連続成功回数。新規の初回成功は1回</t>
        </is>
      </c>
      <c r="F18" s="6" t="inlineStr">
        <is>
          <t>API最小は2</t>
        </is>
      </c>
    </row>
    <row r="19" ht="30" customHeight="1">
      <c r="A19" s="7" t="inlineStr">
        <is>
          <t>ALB unhealthy閾値</t>
        </is>
      </c>
      <c r="B19" s="7" t="inlineStr">
        <is>
          <t>alb_unhealthy</t>
        </is>
      </c>
      <c r="C19" s="9" t="n">
        <v>3</v>
      </c>
      <c r="D19" s="7" t="inlineStr">
        <is>
          <t>回</t>
        </is>
      </c>
      <c r="E19" s="7" t="inlineStr">
        <is>
          <t>連続失敗でunhealthy。平常時の切り離しにも効く</t>
        </is>
      </c>
      <c r="F19" s="7" t="inlineStr">
        <is>
          <t>推奨</t>
        </is>
      </c>
    </row>
    <row r="20" ht="30" customHeight="1">
      <c r="A20" s="6" t="inlineStr">
        <is>
          <t>猶予 パターンA</t>
        </is>
      </c>
      <c r="B20" s="6" t="inlineStr">
        <is>
          <t>grace_a</t>
        </is>
      </c>
      <c r="C20" s="9" t="n">
        <v>300</v>
      </c>
      <c r="D20" s="6" t="inlineStr">
        <is>
          <t>秒</t>
        </is>
      </c>
      <c r="E20" s="6" t="inlineStr">
        <is>
          <t>ECSサービスのhealthCheckGracePeriodSeconds</t>
        </is>
      </c>
      <c r="F20" s="6" t="inlineStr">
        <is>
          <t>依頼の300秒</t>
        </is>
      </c>
    </row>
    <row r="21" ht="30" customHeight="1">
      <c r="A21" s="7" t="inlineStr">
        <is>
          <t>猶予 パターンB</t>
        </is>
      </c>
      <c r="B21" s="7" t="inlineStr">
        <is>
          <t>grace_b</t>
        </is>
      </c>
      <c r="C21" s="9" t="n">
        <v>420</v>
      </c>
      <c r="D21" s="7" t="inlineStr">
        <is>
          <t>秒</t>
        </is>
      </c>
      <c r="E21" s="7" t="inlineStr">
        <is>
          <t>直列を残す場合の猶予</t>
        </is>
      </c>
      <c r="F21" s="7" t="inlineStr">
        <is>
          <t>見通し365秒＋余り</t>
        </is>
      </c>
    </row>
    <row r="22" ht="30" customHeight="1">
      <c r="A22" s="6" t="inlineStr">
        <is>
          <t>バックtimeout</t>
        </is>
      </c>
      <c r="B22" s="6" t="inlineStr">
        <is>
          <t>back_timeout</t>
        </is>
      </c>
      <c r="C22" s="9" t="n">
        <v>5</v>
      </c>
      <c r="D22" s="6" t="inlineStr">
        <is>
          <t>秒</t>
        </is>
      </c>
      <c r="E22" s="6" t="inlineStr">
        <is>
          <t>1回の検査の待ち</t>
        </is>
      </c>
      <c r="F22" s="6" t="inlineStr">
        <is>
          <t>API 2〜60</t>
        </is>
      </c>
    </row>
    <row r="23" ht="30" customHeight="1">
      <c r="A23" s="7" t="inlineStr">
        <is>
          <t>フロントtimeout</t>
        </is>
      </c>
      <c r="B23" s="7" t="inlineStr">
        <is>
          <t>front_timeout</t>
        </is>
      </c>
      <c r="C23" s="9" t="n">
        <v>10</v>
      </c>
      <c r="D23" s="7" t="inlineStr">
        <is>
          <t>秒</t>
        </is>
      </c>
      <c r="E23" s="7" t="inlineStr">
        <is>
          <t>URLを2本叩くため10秒</t>
        </is>
      </c>
      <c r="F23" s="7" t="inlineStr">
        <is>
          <t>API 2〜60、interval未満</t>
        </is>
      </c>
    </row>
    <row r="24" ht="30" customHeight="1">
      <c r="A24" s="6" t="inlineStr">
        <is>
          <t>ADOT timeout</t>
        </is>
      </c>
      <c r="B24" s="6" t="inlineStr">
        <is>
          <t>adot_timeout</t>
        </is>
      </c>
      <c r="C24" s="9" t="n">
        <v>3</v>
      </c>
      <c r="D24" s="6" t="inlineStr">
        <is>
          <t>秒</t>
        </is>
      </c>
      <c r="E24" s="6" t="inlineStr">
        <is>
          <t>interval 5より短くする</t>
        </is>
      </c>
      <c r="F24" s="6" t="inlineStr">
        <is>
          <t>公式例の6はinterval以上なので採用しない</t>
        </is>
      </c>
    </row>
    <row r="25" ht="30" customHeight="1">
      <c r="A25" s="7" t="inlineStr">
        <is>
          <t>CW timeout</t>
        </is>
      </c>
      <c r="B25" s="7" t="inlineStr">
        <is>
          <t>cw_timeout</t>
        </is>
      </c>
      <c r="C25" s="9" t="n">
        <v>5</v>
      </c>
      <c r="D25" s="7" t="inlineStr">
        <is>
          <t>秒</t>
        </is>
      </c>
      <c r="E25" s="7" t="inlineStr">
        <is>
          <t>プロセス確認</t>
        </is>
      </c>
      <c r="F25" s="7" t="inlineStr">
        <is>
          <t>推奨</t>
        </is>
      </c>
    </row>
    <row r="26" ht="30" customHeight="1">
      <c r="A26" s="6" t="inlineStr">
        <is>
          <t>バックretries</t>
        </is>
      </c>
      <c r="B26" s="6" t="inlineStr">
        <is>
          <t>back_retries</t>
        </is>
      </c>
      <c r="C26" s="9" t="n">
        <v>3</v>
      </c>
      <c r="D26" s="6" t="inlineStr">
        <is>
          <t>回</t>
        </is>
      </c>
      <c r="E26" s="6" t="inlineStr">
        <is>
          <t>startPeriodのあとの連続失敗回数</t>
        </is>
      </c>
      <c r="F26" s="6" t="inlineStr">
        <is>
          <t>API初期値</t>
        </is>
      </c>
    </row>
    <row r="27" ht="30" customHeight="1">
      <c r="A27" s="7" t="inlineStr">
        <is>
          <t>フロントretries</t>
        </is>
      </c>
      <c r="B27" s="7" t="inlineStr">
        <is>
          <t>front_retries</t>
        </is>
      </c>
      <c r="C27" s="9" t="n">
        <v>3</v>
      </c>
      <c r="D27" s="7" t="inlineStr">
        <is>
          <t>回</t>
        </is>
      </c>
      <c r="E27" s="7" t="inlineStr">
        <is>
          <t>同じ</t>
        </is>
      </c>
      <c r="F27" s="7" t="inlineStr">
        <is>
          <t>API初期値</t>
        </is>
      </c>
    </row>
    <row r="28" ht="30" customHeight="1">
      <c r="A28" s="6" t="inlineStr">
        <is>
          <t>ADOT retries</t>
        </is>
      </c>
      <c r="B28" s="6" t="inlineStr">
        <is>
          <t>adot_retries</t>
        </is>
      </c>
      <c r="C28" s="9" t="n">
        <v>3</v>
      </c>
      <c r="D28" s="6" t="inlineStr">
        <is>
          <t>回</t>
        </is>
      </c>
      <c r="E28" s="6" t="inlineStr">
        <is>
          <t>同じ</t>
        </is>
      </c>
      <c r="F28" s="6" t="inlineStr">
        <is>
          <t>API初期値</t>
        </is>
      </c>
    </row>
    <row r="29" ht="30" customHeight="1">
      <c r="A29" s="7" t="inlineStr">
        <is>
          <t>CW retries</t>
        </is>
      </c>
      <c r="B29" s="7" t="inlineStr">
        <is>
          <t>cw_retries</t>
        </is>
      </c>
      <c r="C29" s="9" t="n">
        <v>3</v>
      </c>
      <c r="D29" s="7" t="inlineStr">
        <is>
          <t>回</t>
        </is>
      </c>
      <c r="E29" s="7" t="inlineStr">
        <is>
          <t>同じ</t>
        </is>
      </c>
      <c r="F29" s="7" t="inlineStr">
        <is>
          <t>API初期値</t>
        </is>
      </c>
    </row>
    <row r="30" ht="30" customHeight="1">
      <c r="A30" s="6" t="inlineStr">
        <is>
          <t>ADOT startPeriod</t>
        </is>
      </c>
      <c r="B30" s="6" t="inlineStr">
        <is>
          <t>adot_start</t>
        </is>
      </c>
      <c r="C30" s="9" t="n">
        <v>30</v>
      </c>
      <c r="D30" s="6" t="inlineStr">
        <is>
          <t>秒</t>
        </is>
      </c>
      <c r="E30" s="6" t="inlineStr">
        <is>
          <t>失敗を数えない時間</t>
        </is>
      </c>
      <c r="F30" s="6" t="inlineStr">
        <is>
          <t>計画値と同じ長さ</t>
        </is>
      </c>
    </row>
    <row r="31" ht="30" customHeight="1">
      <c r="A31" s="7" t="inlineStr">
        <is>
          <t>CW startPeriod</t>
        </is>
      </c>
      <c r="B31" s="7" t="inlineStr">
        <is>
          <t>cw_start</t>
        </is>
      </c>
      <c r="C31" s="9" t="n">
        <v>30</v>
      </c>
      <c r="D31" s="7" t="inlineStr">
        <is>
          <t>秒</t>
        </is>
      </c>
      <c r="E31" s="7" t="inlineStr">
        <is>
          <t>失敗を数えない時間</t>
        </is>
      </c>
      <c r="F31" s="7" t="inlineStr">
        <is>
          <t>起動は短い</t>
        </is>
      </c>
    </row>
    <row r="32" ht="30" customHeight="1">
      <c r="A32" s="6" t="inlineStr">
        <is>
          <t>バッファの半分をサンプル外へ</t>
        </is>
      </c>
      <c r="B32" s="6" t="inlineStr">
        <is>
          <t>unseen_ratio</t>
        </is>
      </c>
      <c r="C32" s="10" t="n">
        <v>0.5</v>
      </c>
      <c r="D32" s="6" t="inlineStr">
        <is>
          <t>割</t>
        </is>
      </c>
      <c r="E32" s="6" t="inlineStr">
        <is>
          <t>2倍の増分のうち、未観測の悪化へ割り当てる割合</t>
        </is>
      </c>
      <c r="F32" s="6" t="inlineStr">
        <is>
          <t>説明用の配分。計測ではない</t>
        </is>
      </c>
    </row>
    <row r="33" ht="30" customHeight="1">
      <c r="A33" s="7" t="inlineStr">
        <is>
          <t>現状フロントstartPeriod</t>
        </is>
      </c>
      <c r="B33" s="7" t="inlineStr">
        <is>
          <t>current_front</t>
        </is>
      </c>
      <c r="C33" s="9" t="n">
        <v>210</v>
      </c>
      <c r="D33" s="7" t="inlineStr">
        <is>
          <t>秒</t>
        </is>
      </c>
      <c r="E33" s="7" t="inlineStr">
        <is>
          <t>依頼文の現状</t>
        </is>
      </c>
      <c r="F33" s="7" t="inlineStr">
        <is>
          <t>依頼文</t>
        </is>
      </c>
    </row>
    <row r="34" ht="30" customHeight="1">
      <c r="A34" s="6" t="inlineStr">
        <is>
          <t>現状バックstartPeriod</t>
        </is>
      </c>
      <c r="B34" s="6" t="inlineStr">
        <is>
          <t>current_back</t>
        </is>
      </c>
      <c r="C34" s="9" t="n">
        <v>210</v>
      </c>
      <c r="D34" s="6" t="inlineStr">
        <is>
          <t>秒</t>
        </is>
      </c>
      <c r="E34" s="6" t="inlineStr">
        <is>
          <t>依頼文の現状</t>
        </is>
      </c>
      <c r="F34" s="6" t="inlineStr">
        <is>
          <t>依頼文</t>
        </is>
      </c>
    </row>
    <row r="36" ht="24" customHeight="1">
      <c r="A36" s="4" t="inlineStr">
        <is>
          <t>見積とバッファの式</t>
        </is>
      </c>
      <c r="B36" s="4" t="n"/>
      <c r="C36" s="4" t="n"/>
      <c r="D36" s="4" t="n"/>
      <c r="E36" s="4" t="n"/>
      <c r="F36" s="4" t="n"/>
    </row>
    <row r="37" ht="30" customHeight="1">
      <c r="A37" s="5" t="inlineStr">
        <is>
          <t>項目</t>
        </is>
      </c>
      <c r="B37" s="5" t="inlineStr">
        <is>
          <t>名前</t>
        </is>
      </c>
      <c r="C37" s="5" t="inlineStr">
        <is>
          <t>値</t>
        </is>
      </c>
      <c r="D37" s="5" t="inlineStr">
        <is>
          <t>単位</t>
        </is>
      </c>
      <c r="E37" s="5" t="inlineStr">
        <is>
          <t>式の意味</t>
        </is>
      </c>
      <c r="F37" s="5" t="inlineStr">
        <is>
          <t>セル</t>
        </is>
      </c>
    </row>
    <row r="38" ht="32" customHeight="1">
      <c r="A38" s="6" t="inlineStr">
        <is>
          <t>バック見積</t>
        </is>
      </c>
      <c r="B38" s="6" t="inlineStr">
        <is>
          <t>back_budget</t>
        </is>
      </c>
      <c r="C38" s="11">
        <f>C7*C10</f>
        <v/>
      </c>
      <c r="D38" s="6" t="inlineStr">
        <is>
          <t>秒</t>
        </is>
      </c>
      <c r="E38" s="6" t="inlineStr">
        <is>
          <t>実測最大 × 倍率</t>
        </is>
      </c>
      <c r="F38" s="6" t="inlineStr">
        <is>
          <t>C38</t>
        </is>
      </c>
    </row>
    <row r="39" ht="32" customHeight="1">
      <c r="A39" s="7" t="inlineStr">
        <is>
          <t>フロント自身の見積</t>
        </is>
      </c>
      <c r="B39" s="7" t="inlineStr">
        <is>
          <t>front_own</t>
        </is>
      </c>
      <c r="C39" s="12">
        <f>C9*C10</f>
        <v/>
      </c>
      <c r="D39" s="7" t="inlineStr">
        <is>
          <t>秒</t>
        </is>
      </c>
      <c r="E39" s="7" t="inlineStr">
        <is>
          <t>実測最大 × 倍率</t>
        </is>
      </c>
      <c r="F39" s="7" t="inlineStr">
        <is>
          <t>C39</t>
        </is>
      </c>
    </row>
    <row r="40" ht="32" customHeight="1">
      <c r="A40" s="6" t="inlineStr">
        <is>
          <t>バックのバッファ</t>
        </is>
      </c>
      <c r="B40" s="6" t="inlineStr">
        <is>
          <t>back_buffer</t>
        </is>
      </c>
      <c r="C40" s="11">
        <f>C38-C7</f>
        <v/>
      </c>
      <c r="D40" s="6" t="inlineStr">
        <is>
          <t>秒</t>
        </is>
      </c>
      <c r="E40" s="6" t="inlineStr">
        <is>
          <t>見積 − 実測最大。2倍なら実測最大と同じ</t>
        </is>
      </c>
      <c r="F40" s="6" t="inlineStr">
        <is>
          <t>C40</t>
        </is>
      </c>
    </row>
    <row r="41" ht="32" customHeight="1">
      <c r="A41" s="7" t="inlineStr">
        <is>
          <t>フロントのバッファ</t>
        </is>
      </c>
      <c r="B41" s="7" t="inlineStr">
        <is>
          <t>front_buffer</t>
        </is>
      </c>
      <c r="C41" s="12">
        <f>C39-C9</f>
        <v/>
      </c>
      <c r="D41" s="7" t="inlineStr">
        <is>
          <t>秒</t>
        </is>
      </c>
      <c r="E41" s="7" t="inlineStr">
        <is>
          <t>見積 − 実測最大</t>
        </is>
      </c>
      <c r="F41" s="7" t="inlineStr">
        <is>
          <t>C41</t>
        </is>
      </c>
    </row>
    <row r="42" ht="32" customHeight="1">
      <c r="A42" s="6" t="inlineStr">
        <is>
          <t>バック サンプル外</t>
        </is>
      </c>
      <c r="B42" s="6" t="inlineStr">
        <is>
          <t>back_unseen</t>
        </is>
      </c>
      <c r="C42" s="11">
        <f>C40*C32</f>
        <v/>
      </c>
      <c r="D42" s="6" t="inlineStr">
        <is>
          <t>秒</t>
        </is>
      </c>
      <c r="E42" s="6" t="inlineStr">
        <is>
          <t>バッファ × 配分比率</t>
        </is>
      </c>
      <c r="F42" s="6" t="inlineStr">
        <is>
          <t>C42</t>
        </is>
      </c>
    </row>
    <row r="43" ht="32" customHeight="1">
      <c r="A43" s="7" t="inlineStr">
        <is>
          <t>フロント サンプル外</t>
        </is>
      </c>
      <c r="B43" s="7" t="inlineStr">
        <is>
          <t>front_unseen</t>
        </is>
      </c>
      <c r="C43" s="12">
        <f>C41*C32</f>
        <v/>
      </c>
      <c r="D43" s="7" t="inlineStr">
        <is>
          <t>秒</t>
        </is>
      </c>
      <c r="E43" s="7" t="inlineStr">
        <is>
          <t>バッファ × 配分比率</t>
        </is>
      </c>
      <c r="F43" s="7" t="inlineStr">
        <is>
          <t>C43</t>
        </is>
      </c>
    </row>
    <row r="44" ht="32" customHeight="1">
      <c r="A44" s="6" t="inlineStr">
        <is>
          <t>バック 検査1回分</t>
        </is>
      </c>
      <c r="B44" s="6" t="inlineStr">
        <is>
          <t>back_slot</t>
        </is>
      </c>
      <c r="C44" s="11">
        <f>C13</f>
        <v/>
      </c>
      <c r="D44" s="6" t="inlineStr">
        <is>
          <t>秒</t>
        </is>
      </c>
      <c r="E44" s="6" t="inlineStr">
        <is>
          <t>intervalを1回、バッファの中に割り当てる</t>
        </is>
      </c>
      <c r="F44" s="6" t="inlineStr">
        <is>
          <t>C44</t>
        </is>
      </c>
    </row>
    <row r="45" ht="32" customHeight="1">
      <c r="A45" s="7" t="inlineStr">
        <is>
          <t>フロント 検査1回分</t>
        </is>
      </c>
      <c r="B45" s="7" t="inlineStr">
        <is>
          <t>front_slot</t>
        </is>
      </c>
      <c r="C45" s="12">
        <f>C14</f>
        <v/>
      </c>
      <c r="D45" s="7" t="inlineStr">
        <is>
          <t>秒</t>
        </is>
      </c>
      <c r="E45" s="7" t="inlineStr">
        <is>
          <t>intervalを1回</t>
        </is>
      </c>
      <c r="F45" s="7" t="inlineStr">
        <is>
          <t>C45</t>
        </is>
      </c>
    </row>
    <row r="46" ht="32" customHeight="1">
      <c r="A46" s="6" t="inlineStr">
        <is>
          <t>バック ログのあと</t>
        </is>
      </c>
      <c r="B46" s="6" t="inlineStr">
        <is>
          <t>back_post</t>
        </is>
      </c>
      <c r="C46" s="11">
        <f>C40-C42-C44</f>
        <v/>
      </c>
      <c r="D46" s="6" t="inlineStr">
        <is>
          <t>秒</t>
        </is>
      </c>
      <c r="E46" s="6" t="inlineStr">
        <is>
          <t>バッファの残り。計測値ではない</t>
        </is>
      </c>
      <c r="F46" s="6" t="inlineStr">
        <is>
          <t>C46</t>
        </is>
      </c>
    </row>
    <row r="47" ht="32" customHeight="1">
      <c r="A47" s="7" t="inlineStr">
        <is>
          <t>フロント ログのあと</t>
        </is>
      </c>
      <c r="B47" s="7" t="inlineStr">
        <is>
          <t>front_post</t>
        </is>
      </c>
      <c r="C47" s="12">
        <f>C41-C43-C45</f>
        <v/>
      </c>
      <c r="D47" s="7" t="inlineStr">
        <is>
          <t>秒</t>
        </is>
      </c>
      <c r="E47" s="7" t="inlineStr">
        <is>
          <t>バッファの残り。計測値ではない</t>
        </is>
      </c>
      <c r="F47" s="7" t="inlineStr">
        <is>
          <t>C47</t>
        </is>
      </c>
    </row>
    <row r="48" ht="32" customHeight="1">
      <c r="A48" s="6" t="inlineStr">
        <is>
          <t>実測最大の差</t>
        </is>
      </c>
      <c r="B48" s="6" t="inlineStr">
        <is>
          <t>measured_gap</t>
        </is>
      </c>
      <c r="C48" s="11">
        <f>C7-C9</f>
        <v/>
      </c>
      <c r="D48" s="6" t="inlineStr">
        <is>
          <t>秒</t>
        </is>
      </c>
      <c r="E48" s="6" t="inlineStr">
        <is>
          <t>バック最大 − フロント最大</t>
        </is>
      </c>
      <c r="F48" s="6" t="inlineStr">
        <is>
          <t>C48</t>
        </is>
      </c>
    </row>
    <row r="49" ht="32" customHeight="1">
      <c r="A49" s="7" t="inlineStr">
        <is>
          <t>バッファの差</t>
        </is>
      </c>
      <c r="B49" s="7" t="inlineStr">
        <is>
          <t>buffer_gap</t>
        </is>
      </c>
      <c r="C49" s="12">
        <f>C40-C41</f>
        <v/>
      </c>
      <c r="D49" s="7" t="inlineStr">
        <is>
          <t>秒</t>
        </is>
      </c>
      <c r="E49" s="7" t="inlineStr">
        <is>
          <t>バックのバッファ − フロントのバッファ</t>
        </is>
      </c>
      <c r="F49" s="7" t="inlineStr">
        <is>
          <t>C49</t>
        </is>
      </c>
    </row>
    <row r="50" ht="32" customHeight="1">
      <c r="A50" s="6" t="inlineStr">
        <is>
          <t>遅いほうに合わせる追加</t>
        </is>
      </c>
      <c r="B50" s="6" t="inlineStr">
        <is>
          <t>slower_extra</t>
        </is>
      </c>
      <c r="C50" s="11">
        <f>C48+C49</f>
        <v/>
      </c>
      <c r="D50" s="6" t="inlineStr">
        <is>
          <t>秒</t>
        </is>
      </c>
      <c r="E50" s="6" t="inlineStr">
        <is>
          <t>フロント見積をバック見積まで伸ばす差分</t>
        </is>
      </c>
      <c r="F50" s="6" t="inlineStr">
        <is>
          <t>C50</t>
        </is>
      </c>
    </row>
    <row r="51" ht="32" customHeight="1">
      <c r="A51" s="7" t="inlineStr">
        <is>
          <t>パターンA フロントstartPeriod</t>
        </is>
      </c>
      <c r="B51" s="7" t="inlineStr">
        <is>
          <t>front_start_a</t>
        </is>
      </c>
      <c r="C51" s="12">
        <f>MAX(C39,C38)</f>
        <v/>
      </c>
      <c r="D51" s="7" t="inlineStr">
        <is>
          <t>秒</t>
        </is>
      </c>
      <c r="E51" s="7" t="inlineStr">
        <is>
          <t>自分の見積と相手の見積の長いほう</t>
        </is>
      </c>
      <c r="F51" s="7" t="inlineStr">
        <is>
          <t>C51</t>
        </is>
      </c>
    </row>
    <row r="52" ht="32" customHeight="1">
      <c r="A52" s="6" t="inlineStr">
        <is>
          <t>パターンA バックstartPeriod</t>
        </is>
      </c>
      <c r="B52" s="6" t="inlineStr">
        <is>
          <t>back_start_a</t>
        </is>
      </c>
      <c r="C52" s="11">
        <f>C38</f>
        <v/>
      </c>
      <c r="D52" s="6" t="inlineStr">
        <is>
          <t>秒</t>
        </is>
      </c>
      <c r="E52" s="6" t="inlineStr">
        <is>
          <t>自分の見積</t>
        </is>
      </c>
      <c r="F52" s="6" t="inlineStr">
        <is>
          <t>C52</t>
        </is>
      </c>
    </row>
    <row r="53" ht="32" customHeight="1">
      <c r="A53" s="7" t="inlineStr">
        <is>
          <t>準備完了後の長いほう</t>
        </is>
      </c>
      <c r="B53" s="7" t="inlineStr">
        <is>
          <t>post_ready</t>
        </is>
      </c>
      <c r="C53" s="12">
        <f>MAX(C14,C18*C17)</f>
        <v/>
      </c>
      <c r="D53" s="7" t="inlineStr">
        <is>
          <t>秒</t>
        </is>
      </c>
      <c r="E53" s="7" t="inlineStr">
        <is>
          <t>コンテナintervalと、ALB閾値×間隔の長いほう。同時に進むので足さない</t>
        </is>
      </c>
      <c r="F53" s="7" t="inlineStr">
        <is>
          <t>C53</t>
        </is>
      </c>
    </row>
    <row r="54" ht="32" customHeight="1">
      <c r="A54" s="6" t="inlineStr">
        <is>
          <t>パターンA 準備完了</t>
        </is>
      </c>
      <c r="B54" s="6" t="inlineStr">
        <is>
          <t>ready_a</t>
        </is>
      </c>
      <c r="C54" s="11">
        <f>C11+C51</f>
        <v/>
      </c>
      <c r="D54" s="6" t="inlineStr">
        <is>
          <t>秒</t>
        </is>
      </c>
      <c r="E54" s="6" t="inlineStr">
        <is>
          <t>ADOT計画値＋遅いほうの見積</t>
        </is>
      </c>
      <c r="F54" s="6" t="inlineStr">
        <is>
          <t>C54</t>
        </is>
      </c>
    </row>
    <row r="55" ht="32" customHeight="1">
      <c r="A55" s="7" t="inlineStr">
        <is>
          <t>パターンA 両方healthyの見通し</t>
        </is>
      </c>
      <c r="B55" s="7" t="inlineStr">
        <is>
          <t>both_a</t>
        </is>
      </c>
      <c r="C55" s="12">
        <f>C54+C53</f>
        <v/>
      </c>
      <c r="D55" s="7" t="inlineStr">
        <is>
          <t>秒</t>
        </is>
      </c>
      <c r="E55" s="7" t="inlineStr">
        <is>
          <t>準備完了＋長いほう</t>
        </is>
      </c>
      <c r="F55" s="7" t="inlineStr">
        <is>
          <t>C55</t>
        </is>
      </c>
    </row>
    <row r="56" ht="32" customHeight="1">
      <c r="A56" s="6" t="inlineStr">
        <is>
          <t>パターンA 猶予の余り</t>
        </is>
      </c>
      <c r="B56" s="6" t="inlineStr">
        <is>
          <t>margin_a</t>
        </is>
      </c>
      <c r="C56" s="11">
        <f>C20-C55</f>
        <v/>
      </c>
      <c r="D56" s="6" t="inlineStr">
        <is>
          <t>秒</t>
        </is>
      </c>
      <c r="E56" s="6" t="inlineStr">
        <is>
          <t>猶予 − 見通し</t>
        </is>
      </c>
      <c r="F56" s="6" t="inlineStr">
        <is>
          <t>C56</t>
        </is>
      </c>
    </row>
    <row r="57" ht="32" customHeight="1">
      <c r="A57" s="7" t="inlineStr">
        <is>
          <t>ADOTが60秒のときの見通し</t>
        </is>
      </c>
      <c r="B57" s="7" t="inlineStr">
        <is>
          <t>edge_both</t>
        </is>
      </c>
      <c r="C57" s="12">
        <f>C12+C38+C53</f>
        <v/>
      </c>
      <c r="D57" s="7" t="inlineStr">
        <is>
          <t>秒</t>
        </is>
      </c>
      <c r="E57" s="7" t="inlineStr">
        <is>
          <t>startTimeoutの端＋見積＋長いほう</t>
        </is>
      </c>
      <c r="F57" s="7" t="inlineStr">
        <is>
          <t>C57</t>
        </is>
      </c>
    </row>
    <row r="58" ht="32" customHeight="1">
      <c r="A58" s="6" t="inlineStr">
        <is>
          <t>そのときの余り</t>
        </is>
      </c>
      <c r="B58" s="6" t="inlineStr">
        <is>
          <t>edge_margin</t>
        </is>
      </c>
      <c r="C58" s="11">
        <f>C20-C57</f>
        <v/>
      </c>
      <c r="D58" s="6" t="inlineStr">
        <is>
          <t>秒</t>
        </is>
      </c>
      <c r="E58" s="6" t="inlineStr">
        <is>
          <t>猶予 − 端の見通し</t>
        </is>
      </c>
      <c r="F58" s="6" t="inlineStr">
        <is>
          <t>C58</t>
        </is>
      </c>
    </row>
    <row r="59" ht="32" customHeight="1">
      <c r="A59" s="7" t="inlineStr">
        <is>
          <t>直列でフロントが起動する時刻</t>
        </is>
      </c>
      <c r="B59" s="7" t="inlineStr">
        <is>
          <t>front_on_b</t>
        </is>
      </c>
      <c r="C59" s="12">
        <f>C11+C38+C13</f>
        <v/>
      </c>
      <c r="D59" s="7" t="inlineStr">
        <is>
          <t>秒</t>
        </is>
      </c>
      <c r="E59" s="7" t="inlineStr">
        <is>
          <t>ADOT＋バック見積＋観測1 interval</t>
        </is>
      </c>
      <c r="F59" s="7" t="inlineStr">
        <is>
          <t>C59</t>
        </is>
      </c>
    </row>
    <row r="60" ht="32" customHeight="1">
      <c r="A60" s="6" t="inlineStr">
        <is>
          <t>300秒時点のフロント年齢</t>
        </is>
      </c>
      <c r="B60" s="6" t="inlineStr">
        <is>
          <t>age_300</t>
        </is>
      </c>
      <c r="C60" s="11">
        <f>C20-C59</f>
        <v/>
      </c>
      <c r="D60" s="6" t="inlineStr">
        <is>
          <t>秒</t>
        </is>
      </c>
      <c r="E60" s="6" t="inlineStr">
        <is>
          <t>パターンAの猶予時刻 − フロント起動時刻</t>
        </is>
      </c>
      <c r="F60" s="6" t="inlineStr">
        <is>
          <t>C60</t>
        </is>
      </c>
    </row>
    <row r="61" ht="32" customHeight="1">
      <c r="A61" s="7" t="inlineStr">
        <is>
          <t>300秒時点の不足</t>
        </is>
      </c>
      <c r="B61" s="7" t="inlineStr">
        <is>
          <t>shortfall</t>
        </is>
      </c>
      <c r="C61" s="12">
        <f>C39-C60</f>
        <v/>
      </c>
      <c r="D61" s="7" t="inlineStr">
        <is>
          <t>秒</t>
        </is>
      </c>
      <c r="E61" s="7" t="inlineStr">
        <is>
          <t>フロント自身の見積 − 年齢。正ならまだ足りない</t>
        </is>
      </c>
      <c r="F61" s="7" t="inlineStr">
        <is>
          <t>C61</t>
        </is>
      </c>
    </row>
    <row r="62" ht="32" customHeight="1">
      <c r="A62" s="6" t="inlineStr">
        <is>
          <t>直列でフロントが準備完了</t>
        </is>
      </c>
      <c r="B62" s="6" t="inlineStr">
        <is>
          <t>front_ready_b</t>
        </is>
      </c>
      <c r="C62" s="11">
        <f>C59+C39</f>
        <v/>
      </c>
      <c r="D62" s="6" t="inlineStr">
        <is>
          <t>秒</t>
        </is>
      </c>
      <c r="E62" s="6" t="inlineStr">
        <is>
          <t>起動時刻＋自分の見積</t>
        </is>
      </c>
      <c r="F62" s="6" t="inlineStr">
        <is>
          <t>C62</t>
        </is>
      </c>
    </row>
    <row r="63" ht="32" customHeight="1">
      <c r="A63" s="7" t="inlineStr">
        <is>
          <t>直列で両方healthy</t>
        </is>
      </c>
      <c r="B63" s="7" t="inlineStr">
        <is>
          <t>both_b</t>
        </is>
      </c>
      <c r="C63" s="12">
        <f>C62+C53</f>
        <v/>
      </c>
      <c r="D63" s="7" t="inlineStr">
        <is>
          <t>秒</t>
        </is>
      </c>
      <c r="E63" s="7" t="inlineStr">
        <is>
          <t>準備完了＋長いほう</t>
        </is>
      </c>
      <c r="F63" s="7" t="inlineStr">
        <is>
          <t>C63</t>
        </is>
      </c>
    </row>
    <row r="64" ht="32" customHeight="1">
      <c r="A64" s="6" t="inlineStr">
        <is>
          <t>直列の猶予の余り</t>
        </is>
      </c>
      <c r="B64" s="6" t="inlineStr">
        <is>
          <t>margin_b</t>
        </is>
      </c>
      <c r="C64" s="11">
        <f>C21-C63</f>
        <v/>
      </c>
      <c r="D64" s="6" t="inlineStr">
        <is>
          <t>秒</t>
        </is>
      </c>
      <c r="E64" s="6" t="inlineStr">
        <is>
          <t>パターンBの猶予 − 見通し</t>
        </is>
      </c>
      <c r="F64" s="6" t="inlineStr">
        <is>
          <t>C64</t>
        </is>
      </c>
    </row>
    <row r="65" ht="32" customHeight="1">
      <c r="A65" s="7" t="inlineStr">
        <is>
          <t>ALBがunhealthyになる目安</t>
        </is>
      </c>
      <c r="B65" s="7" t="inlineStr">
        <is>
          <t>alb_bad</t>
        </is>
      </c>
      <c r="C65" s="12">
        <f>C19*C17</f>
        <v/>
      </c>
      <c r="D65" s="7" t="inlineStr">
        <is>
          <t>秒</t>
        </is>
      </c>
      <c r="E65" s="7" t="inlineStr">
        <is>
          <t>unhealthy閾値 × interval。公式例と同じ掛け算</t>
        </is>
      </c>
      <c r="F65" s="7" t="inlineStr">
        <is>
          <t>C65</t>
        </is>
      </c>
    </row>
    <row r="66" ht="32" customHeight="1">
      <c r="A66" s="6" t="inlineStr">
        <is>
          <t>ALBが戻る目安</t>
        </is>
      </c>
      <c r="B66" s="6" t="inlineStr">
        <is>
          <t>alb_back</t>
        </is>
      </c>
      <c r="C66" s="11">
        <f>C18*C17</f>
        <v/>
      </c>
      <c r="D66" s="6" t="inlineStr">
        <is>
          <t>秒</t>
        </is>
      </c>
      <c r="E66" s="6" t="inlineStr">
        <is>
          <t>healthy閾値 × interval</t>
        </is>
      </c>
      <c r="F66" s="6" t="inlineStr">
        <is>
          <t>C66</t>
        </is>
      </c>
    </row>
    <row r="67" ht="32" customHeight="1">
      <c r="A67" s="7" t="inlineStr">
        <is>
          <t>ADOTが異常確定する目安</t>
        </is>
      </c>
      <c r="B67" s="7" t="inlineStr">
        <is>
          <t>adot_bad</t>
        </is>
      </c>
      <c r="C67" s="12">
        <f>C30+C28*C15</f>
        <v/>
      </c>
      <c r="D67" s="7" t="inlineStr">
        <is>
          <t>秒</t>
        </is>
      </c>
      <c r="E67" s="7" t="inlineStr">
        <is>
          <t>startPeriod＋retries×interval</t>
        </is>
      </c>
      <c r="F67" s="7" t="inlineStr">
        <is>
          <t>C67</t>
        </is>
      </c>
    </row>
    <row r="68" ht="32" customHeight="1">
      <c r="A68" s="6" t="inlineStr">
        <is>
          <t>CWが異常確定する目安</t>
        </is>
      </c>
      <c r="B68" s="6" t="inlineStr">
        <is>
          <t>cw_bad</t>
        </is>
      </c>
      <c r="C68" s="11">
        <f>C31+C29*C16</f>
        <v/>
      </c>
      <c r="D68" s="6" t="inlineStr">
        <is>
          <t>秒</t>
        </is>
      </c>
      <c r="E68" s="6" t="inlineStr">
        <is>
          <t>同じ形</t>
        </is>
      </c>
      <c r="F68" s="6" t="inlineStr">
        <is>
          <t>C68</t>
        </is>
      </c>
    </row>
    <row r="69" ht="32" customHeight="1">
      <c r="A69" s="7" t="inlineStr">
        <is>
          <t>バックが異常確定する目安</t>
        </is>
      </c>
      <c r="B69" s="7" t="inlineStr">
        <is>
          <t>back_bad</t>
        </is>
      </c>
      <c r="C69" s="12">
        <f>C52+C26*C13</f>
        <v/>
      </c>
      <c r="D69" s="7" t="inlineStr">
        <is>
          <t>秒</t>
        </is>
      </c>
      <c r="E69" s="7" t="inlineStr">
        <is>
          <t>自分の起動からの秒</t>
        </is>
      </c>
      <c r="F69" s="7" t="inlineStr">
        <is>
          <t>C69</t>
        </is>
      </c>
    </row>
    <row r="70" ht="32" customHeight="1">
      <c r="A70" s="6" t="inlineStr">
        <is>
          <t>フロントが異常確定する目安</t>
        </is>
      </c>
      <c r="B70" s="6" t="inlineStr">
        <is>
          <t>front_bad</t>
        </is>
      </c>
      <c r="C70" s="11">
        <f>C51+C27*C14</f>
        <v/>
      </c>
      <c r="D70" s="6" t="inlineStr">
        <is>
          <t>秒</t>
        </is>
      </c>
      <c r="E70" s="6" t="inlineStr">
        <is>
          <t>自分の起動からの秒</t>
        </is>
      </c>
      <c r="F70" s="6" t="inlineStr">
        <is>
          <t>C70</t>
        </is>
      </c>
    </row>
    <row r="71" ht="32" customHeight="1">
      <c r="A71" s="7" t="inlineStr">
        <is>
          <t>バック異常確定のタスク開始からの目安</t>
        </is>
      </c>
      <c r="B71" s="7" t="inlineStr">
        <is>
          <t>back_bad_t0</t>
        </is>
      </c>
      <c r="C71" s="12">
        <f>C11+C69</f>
        <v/>
      </c>
      <c r="D71" s="7" t="inlineStr">
        <is>
          <t>秒</t>
        </is>
      </c>
      <c r="E71" s="7" t="inlineStr">
        <is>
          <t>ADOT計画値を足す</t>
        </is>
      </c>
      <c r="F71" s="7" t="inlineStr">
        <is>
          <t>C71</t>
        </is>
      </c>
    </row>
    <row r="72" ht="32" customHeight="1">
      <c r="A72" s="6" t="inlineStr">
        <is>
          <t>現状バックと見積の差</t>
        </is>
      </c>
      <c r="B72" s="6" t="inlineStr">
        <is>
          <t>cur_back_extra</t>
        </is>
      </c>
      <c r="C72" s="11">
        <f>C34-C38</f>
        <v/>
      </c>
      <c r="D72" s="6" t="inlineStr">
        <is>
          <t>秒</t>
        </is>
      </c>
      <c r="E72" s="6" t="inlineStr">
        <is>
          <t>210秒が見積より長い分</t>
        </is>
      </c>
      <c r="F72" s="6" t="inlineStr">
        <is>
          <t>C72</t>
        </is>
      </c>
    </row>
    <row r="73" ht="32" customHeight="1">
      <c r="A73" s="7" t="inlineStr">
        <is>
          <t>現状フロントと自身見積の差</t>
        </is>
      </c>
      <c r="B73" s="7" t="inlineStr">
        <is>
          <t>cur_front_extra</t>
        </is>
      </c>
      <c r="C73" s="12">
        <f>C33-C39</f>
        <v/>
      </c>
      <c r="D73" s="7" t="inlineStr">
        <is>
          <t>秒</t>
        </is>
      </c>
      <c r="E73" s="7" t="inlineStr">
        <is>
          <t>210秒が140秒より長い分</t>
        </is>
      </c>
      <c r="F73" s="7" t="inlineStr">
        <is>
          <t>C73</t>
        </is>
      </c>
    </row>
    <row r="74" ht="32" customHeight="1">
      <c r="A74" s="6" t="inlineStr">
        <is>
          <t>パターンCの最短startPeriod</t>
        </is>
      </c>
      <c r="B74" s="6" t="inlineStr">
        <is>
          <t>pattern_c_min</t>
        </is>
      </c>
      <c r="C74" s="11">
        <f>C11+C38</f>
        <v/>
      </c>
      <c r="D74" s="6" t="inlineStr">
        <is>
          <t>秒</t>
        </is>
      </c>
      <c r="E74" s="6" t="inlineStr">
        <is>
          <t>時刻0からADOTとバック見積をカバー</t>
        </is>
      </c>
      <c r="F74" s="6" t="inlineStr">
        <is>
          <t>C74</t>
        </is>
      </c>
    </row>
    <row r="75" ht="32" customHeight="1">
      <c r="A75" s="7" t="inlineStr">
        <is>
          <t>現状210の余り</t>
        </is>
      </c>
      <c r="B75" s="7" t="inlineStr">
        <is>
          <t>current_slack</t>
        </is>
      </c>
      <c r="C75" s="12">
        <f>C33-C74</f>
        <v/>
      </c>
      <c r="D75" s="7" t="inlineStr">
        <is>
          <t>秒</t>
        </is>
      </c>
      <c r="E75" s="7" t="inlineStr">
        <is>
          <t>210 − パターンCの最短。設計意図の証拠ではない</t>
        </is>
      </c>
      <c r="F75" s="7" t="inlineStr">
        <is>
          <t>C75</t>
        </is>
      </c>
    </row>
    <row r="77" ht="48" customHeight="1">
      <c r="A77" s="3" t="inlineStr">
        <is>
          <t>検査1回分がバッファより大きくなると、「ログのあと」が負になる。そのときは interval を下げるか、配分比率を下げる。負の数は、2倍の中に検査1回分が入りきらない、という意味で、計測の失敗ではない。準備完了後のコンテナ検査と ALB の復帰は同時なので、max を使い、足し算しない。</t>
        </is>
      </c>
      <c r="B77" s="3" t="n"/>
      <c r="C77" s="3" t="n"/>
      <c r="D77" s="3" t="n"/>
      <c r="E77" s="3" t="n"/>
      <c r="F77" s="3" t="n"/>
    </row>
  </sheetData>
  <autoFilter ref="A5:F34"/>
  <mergeCells count="5">
    <mergeCell ref="A2:F2"/>
    <mergeCell ref="A36:F36"/>
    <mergeCell ref="A1:F1"/>
    <mergeCell ref="A4:F4"/>
    <mergeCell ref="A77:F77"/>
  </mergeCells>
  <dataValidations count="2">
    <dataValidation sqref="C10" showDropDown="0" showInputMessage="0" showErrorMessage="0" allowBlank="0" errorTitle="倍率" error="倍率は1から4の範囲で指定する" type="decimal" operator="between">
      <formula1>1</formula1>
      <formula2>4</formula2>
    </dataValidation>
    <dataValidation sqref="C32" showDropDown="0" showInputMessage="0" showErrorMessage="0" allowBlank="0" type="decimal" operator="between">
      <formula1>0</formula1>
      <formula2>1</formula2>
    </dataValidation>
  </dataValidations>
  <printOptions horizontalCentered="1"/>
  <pageMargins left="0.4" right="0.4" top="0.6" bottom="0.5" header="0.25" footer="0.25"/>
  <pageSetup orientation="landscape" paperSize="8" fitToHeight="2" fitToWidth="1" horizontalDpi="300" verticalDpi="300"/>
  <headerFooter>
    <oddHeader>&amp;L&amp;"Meiryo UI"&amp;9 ECS Fargate  startPeriod / dependsOn / ALB 猶予&amp;R&amp;"Meiryo UI"&amp;9 計算</oddHeader>
    <oddFooter>&amp;L&amp;"Meiryo UI"&amp;8 2026-10-12  検討資料  モノトーン  Meiryo UI&amp;R&amp;"Meiryo UI"&amp;8 ページ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4A4A4A"/>
    <outlinePr summaryBelow="1" summaryRight="1"/>
    <pageSetUpPr fitToPage="1"/>
  </sheetPr>
  <dimension ref="A1:E56"/>
  <sheetViews>
    <sheetView showGridLines="0" zoomScale="110" workbookViewId="0">
      <pane ySplit="5" topLeftCell="A6" activePane="bottomLeft" state="frozen"/>
      <selection pane="bottomLeft" activeCell="A1" sqref="A1"/>
    </sheetView>
  </sheetViews>
  <sheetFormatPr baseColWidth="8" defaultColWidth="14" defaultRowHeight="18"/>
  <cols>
    <col width="38" customWidth="1" min="1" max="1"/>
    <col width="16" customWidth="1" min="2" max="2"/>
    <col width="42" customWidth="1" min="3" max="3"/>
    <col width="55" customWidth="1" min="4" max="4"/>
    <col width="28" customWidth="1" min="5" max="5"/>
  </cols>
  <sheetData>
    <row r="1" ht="36" customHeight="1">
      <c r="A1" s="8" t="inlineStr">
        <is>
          <t>デプロイバッファの内訳    2倍の内側を秒にする</t>
        </is>
      </c>
      <c r="B1" s="8" t="n"/>
      <c r="C1" s="8" t="n"/>
      <c r="D1" s="8" t="n"/>
      <c r="E1" s="8" t="n"/>
    </row>
    <row r="2" ht="32" customHeight="1">
      <c r="A2" s="3" t="inlineStr">
        <is>
          <t>割り当ては方針の秒数を説明するために割ったもの。ログのあと25秒や20秒を、別のストップウォッチで測ったという意味ではない。</t>
        </is>
      </c>
      <c r="B2" s="3" t="n"/>
      <c r="C2" s="3" t="n"/>
      <c r="D2" s="3" t="n"/>
      <c r="E2" s="3" t="n"/>
    </row>
    <row r="4" ht="24" customHeight="1">
      <c r="A4" s="4" t="inlineStr">
        <is>
          <t>バックエンド</t>
        </is>
      </c>
      <c r="B4" s="4" t="n"/>
      <c r="C4" s="4" t="n"/>
      <c r="D4" s="4" t="n"/>
      <c r="E4" s="4" t="n"/>
    </row>
    <row r="5" ht="30" customHeight="1">
      <c r="A5" s="5" t="inlineStr">
        <is>
          <t>区分</t>
        </is>
      </c>
      <c r="B5" s="5" t="inlineStr">
        <is>
          <t>秒</t>
        </is>
      </c>
      <c r="C5" s="5" t="inlineStr">
        <is>
          <t>計算</t>
        </is>
      </c>
      <c r="D5" s="5" t="inlineStr">
        <is>
          <t>何の時間か</t>
        </is>
      </c>
      <c r="E5" s="5" t="inlineStr">
        <is>
          <t>参照</t>
        </is>
      </c>
    </row>
    <row r="6" ht="40" customHeight="1">
      <c r="A6" s="6" t="inlineStr">
        <is>
          <t>実測最小</t>
        </is>
      </c>
      <c r="B6" s="11">
        <f>計算!C6</f>
        <v/>
      </c>
      <c r="C6" s="6" t="inlineStr">
        <is>
          <t>入力</t>
        </is>
      </c>
      <c r="D6" s="6" t="inlineStr">
        <is>
          <t>起動開始ログからデプロイ完了ログの最短</t>
        </is>
      </c>
      <c r="E6" s="6" t="inlineStr">
        <is>
          <t>計算!C6</t>
        </is>
      </c>
    </row>
    <row r="7" ht="40" customHeight="1">
      <c r="A7" s="7" t="inlineStr">
        <is>
          <t>実測最大</t>
        </is>
      </c>
      <c r="B7" s="12">
        <f>計算!C7</f>
        <v/>
      </c>
      <c r="C7" s="7" t="inlineStr">
        <is>
          <t>入力</t>
        </is>
      </c>
      <c r="D7" s="7" t="inlineStr">
        <is>
          <t>同じ区間の最長。見積の土台</t>
        </is>
      </c>
      <c r="E7" s="7" t="inlineStr">
        <is>
          <t>計算!C7</t>
        </is>
      </c>
    </row>
    <row r="8" ht="40" customHeight="1">
      <c r="A8" s="6" t="inlineStr">
        <is>
          <t>実測の幅</t>
        </is>
      </c>
      <c r="B8" s="11">
        <f>計算!C7-計算!C6</f>
        <v/>
      </c>
      <c r="C8" s="6" t="inlineStr">
        <is>
          <t>最大−最小。この表では計算シートを参照</t>
        </is>
      </c>
      <c r="D8" s="6" t="inlineStr">
        <is>
          <t>20秒から80秒なら幅は60秒</t>
        </is>
      </c>
      <c r="E8" s="6" t="inlineStr">
        <is>
          <t>計算!C7-計算!C6</t>
        </is>
      </c>
    </row>
    <row r="9" ht="40" customHeight="1">
      <c r="A9" s="7" t="inlineStr">
        <is>
          <t>バッファ合計</t>
        </is>
      </c>
      <c r="B9" s="12">
        <f>計算!C40</f>
        <v/>
      </c>
      <c r="C9" s="7" t="inlineStr">
        <is>
          <t>見積−実測最大</t>
        </is>
      </c>
      <c r="D9" s="7" t="inlineStr">
        <is>
          <t>倍率2なら、実測最大と同じ秒数</t>
        </is>
      </c>
      <c r="E9" s="7" t="inlineStr">
        <is>
          <t>計算!C40</t>
        </is>
      </c>
    </row>
    <row r="10" ht="40" customHeight="1">
      <c r="A10" s="6" t="inlineStr">
        <is>
          <t>サンプル外の悪化</t>
        </is>
      </c>
      <c r="B10" s="11">
        <f>計算!C42</f>
        <v/>
      </c>
      <c r="C10" s="6" t="inlineStr">
        <is>
          <t>バッファ×配分比率</t>
        </is>
      </c>
      <c r="D10" s="6" t="inlineStr">
        <is>
          <t>測った中の最悪よりさらに悪い分。CPUの分け合い、クラスロード、GC、成果物の増加</t>
        </is>
      </c>
      <c r="E10" s="6" t="inlineStr">
        <is>
          <t>計算!C42</t>
        </is>
      </c>
    </row>
    <row r="11" ht="40" customHeight="1">
      <c r="A11" s="7" t="inlineStr">
        <is>
          <t>検査1回分</t>
        </is>
      </c>
      <c r="B11" s="12">
        <f>計算!C44</f>
        <v/>
      </c>
      <c r="C11" s="7" t="inlineStr">
        <is>
          <t>バックエンドのinterval</t>
        </is>
      </c>
      <c r="D11" s="7" t="inlineStr">
        <is>
          <t>完了の直後に検査が外れたとき、次の検査までをバッファに含める</t>
        </is>
      </c>
      <c r="E11" s="7" t="inlineStr">
        <is>
          <t>計算!C44</t>
        </is>
      </c>
    </row>
    <row r="12" ht="40" customHeight="1">
      <c r="A12" s="6" t="inlineStr">
        <is>
          <t>ログのあと</t>
        </is>
      </c>
      <c r="B12" s="11">
        <f>計算!C46</f>
        <v/>
      </c>
      <c r="C12" s="6" t="inlineStr">
        <is>
          <t>バッファ−サンプル外−検査1回</t>
        </is>
      </c>
      <c r="D12" s="6" t="inlineStr">
        <is>
          <t>デプロイ完了ログと、healthcheckが200を返す瞬間の差。割り当て</t>
        </is>
      </c>
      <c r="E12" s="6" t="inlineStr">
        <is>
          <t>計算!C46</t>
        </is>
      </c>
    </row>
    <row r="13" ht="40" customHeight="1">
      <c r="A13" s="7" t="inlineStr">
        <is>
          <t>見積合計 = startPeriod</t>
        </is>
      </c>
      <c r="B13" s="12">
        <f>計算!C38</f>
        <v/>
      </c>
      <c r="C13" s="7" t="inlineStr">
        <is>
          <t>実測最大＋バッファ</t>
        </is>
      </c>
      <c r="D13" s="7" t="inlineStr">
        <is>
          <t>バックエンドのstartPeriod</t>
        </is>
      </c>
      <c r="E13" s="7" t="inlineStr">
        <is>
          <t>計算!C38</t>
        </is>
      </c>
    </row>
    <row r="15" ht="24" customHeight="1">
      <c r="A15" s="4" t="inlineStr">
        <is>
          <t>フロントエンド自身</t>
        </is>
      </c>
      <c r="B15" s="4" t="n"/>
      <c r="C15" s="4" t="n"/>
      <c r="D15" s="4" t="n"/>
      <c r="E15" s="4" t="n"/>
    </row>
    <row r="16" ht="30" customHeight="1">
      <c r="A16" s="5" t="inlineStr">
        <is>
          <t>区分</t>
        </is>
      </c>
      <c r="B16" s="5" t="inlineStr">
        <is>
          <t>秒</t>
        </is>
      </c>
      <c r="C16" s="5" t="inlineStr">
        <is>
          <t>計算</t>
        </is>
      </c>
      <c r="D16" s="5" t="inlineStr">
        <is>
          <t>何の時間か</t>
        </is>
      </c>
      <c r="E16" s="5" t="inlineStr">
        <is>
          <t>参照</t>
        </is>
      </c>
    </row>
    <row r="17" ht="36" customHeight="1">
      <c r="A17" s="6" t="inlineStr">
        <is>
          <t>実測最小</t>
        </is>
      </c>
      <c r="B17" s="11">
        <f>計算!C8</f>
        <v/>
      </c>
      <c r="C17" s="6" t="inlineStr">
        <is>
          <t>入力</t>
        </is>
      </c>
      <c r="D17" s="6" t="inlineStr">
        <is>
          <t>起動開始ログからデプロイ完了ログの最短</t>
        </is>
      </c>
      <c r="E17" s="6" t="inlineStr">
        <is>
          <t>計算!C8</t>
        </is>
      </c>
    </row>
    <row r="18" ht="36" customHeight="1">
      <c r="A18" s="7" t="inlineStr">
        <is>
          <t>実測最大</t>
        </is>
      </c>
      <c r="B18" s="12">
        <f>計算!C9</f>
        <v/>
      </c>
      <c r="C18" s="7" t="inlineStr">
        <is>
          <t>入力</t>
        </is>
      </c>
      <c r="D18" s="7" t="inlineStr">
        <is>
          <t>同じ区間の最長</t>
        </is>
      </c>
      <c r="E18" s="7" t="inlineStr">
        <is>
          <t>計算!C9</t>
        </is>
      </c>
    </row>
    <row r="19" ht="36" customHeight="1">
      <c r="A19" s="6" t="inlineStr">
        <is>
          <t>実測の幅</t>
        </is>
      </c>
      <c r="B19" s="11">
        <f>計算!C9-計算!C8</f>
        <v/>
      </c>
      <c r="C19" s="6" t="inlineStr">
        <is>
          <t>最大−最小</t>
        </is>
      </c>
      <c r="D19" s="6" t="inlineStr">
        <is>
          <t>15秒から70秒なら幅は55秒</t>
        </is>
      </c>
      <c r="E19" s="6" t="inlineStr">
        <is>
          <t>計算!C9-計算!C8</t>
        </is>
      </c>
    </row>
    <row r="20" ht="36" customHeight="1">
      <c r="A20" s="7" t="inlineStr">
        <is>
          <t>バッファ合計</t>
        </is>
      </c>
      <c r="B20" s="12">
        <f>計算!C41</f>
        <v/>
      </c>
      <c r="C20" s="7" t="inlineStr">
        <is>
          <t>見積−実測最大</t>
        </is>
      </c>
      <c r="D20" s="7" t="inlineStr">
        <is>
          <t>倍率2なら実測最大と同じ</t>
        </is>
      </c>
      <c r="E20" s="7" t="inlineStr">
        <is>
          <t>計算!C41</t>
        </is>
      </c>
    </row>
    <row r="21" ht="36" customHeight="1">
      <c r="A21" s="6" t="inlineStr">
        <is>
          <t>サンプル外の悪化</t>
        </is>
      </c>
      <c r="B21" s="11">
        <f>計算!C43</f>
        <v/>
      </c>
      <c r="C21" s="6" t="inlineStr">
        <is>
          <t>バッファ×配分比率</t>
        </is>
      </c>
      <c r="D21" s="6" t="inlineStr">
        <is>
          <t>バックエンドと同じ割り当て方</t>
        </is>
      </c>
      <c r="E21" s="6" t="inlineStr">
        <is>
          <t>計算!C43</t>
        </is>
      </c>
    </row>
    <row r="22" ht="36" customHeight="1">
      <c r="A22" s="7" t="inlineStr">
        <is>
          <t>検査1回分</t>
        </is>
      </c>
      <c r="B22" s="12">
        <f>計算!C45</f>
        <v/>
      </c>
      <c r="C22" s="7" t="inlineStr">
        <is>
          <t>フロントのinterval</t>
        </is>
      </c>
      <c r="D22" s="7" t="inlineStr">
        <is>
          <t>次の検査までの1回</t>
        </is>
      </c>
      <c r="E22" s="7" t="inlineStr">
        <is>
          <t>計算!C45</t>
        </is>
      </c>
    </row>
    <row r="23" ht="36" customHeight="1">
      <c r="A23" s="6" t="inlineStr">
        <is>
          <t>ログのあと</t>
        </is>
      </c>
      <c r="B23" s="11">
        <f>計算!C47</f>
        <v/>
      </c>
      <c r="C23" s="6" t="inlineStr">
        <is>
          <t>バッファの残り</t>
        </is>
      </c>
      <c r="D23" s="6" t="inlineStr">
        <is>
          <t>デプロイ完了ログから待受が応答するまでの割り当て</t>
        </is>
      </c>
      <c r="E23" s="6" t="inlineStr">
        <is>
          <t>計算!C47</t>
        </is>
      </c>
    </row>
    <row r="24" ht="36" customHeight="1">
      <c r="A24" s="7" t="inlineStr">
        <is>
          <t>自分だけの見積</t>
        </is>
      </c>
      <c r="B24" s="12">
        <f>計算!C39</f>
        <v/>
      </c>
      <c r="C24" s="7" t="inlineStr">
        <is>
          <t>実測最大＋バッファ</t>
        </is>
      </c>
      <c r="D24" s="7" t="inlineStr">
        <is>
          <t>検査が自分だけなら、この秒がstartPeriod</t>
        </is>
      </c>
      <c r="E24" s="7" t="inlineStr">
        <is>
          <t>計算!C39</t>
        </is>
      </c>
    </row>
    <row r="26" ht="24" customHeight="1">
      <c r="A26" s="4" t="inlineStr">
        <is>
          <t>パターンAでフロントが160秒になる追加分</t>
        </is>
      </c>
      <c r="B26" s="4" t="n"/>
      <c r="C26" s="4" t="n"/>
      <c r="D26" s="4" t="n"/>
      <c r="E26" s="4" t="n"/>
    </row>
    <row r="27" ht="30" customHeight="1">
      <c r="A27" s="5" t="inlineStr">
        <is>
          <t>区分</t>
        </is>
      </c>
      <c r="B27" s="5" t="inlineStr">
        <is>
          <t>秒</t>
        </is>
      </c>
      <c r="C27" s="5" t="inlineStr">
        <is>
          <t>計算</t>
        </is>
      </c>
      <c r="D27" s="5" t="inlineStr">
        <is>
          <t>何の時間か</t>
        </is>
      </c>
      <c r="E27" s="5" t="inlineStr">
        <is>
          <t>参照</t>
        </is>
      </c>
    </row>
    <row r="28" ht="36" customHeight="1">
      <c r="A28" s="6" t="inlineStr">
        <is>
          <t>自分だけの見積</t>
        </is>
      </c>
      <c r="B28" s="11">
        <f>計算!C39</f>
        <v/>
      </c>
      <c r="C28" s="6" t="inlineStr">
        <is>
          <t>上の表の合計</t>
        </is>
      </c>
      <c r="D28" s="6" t="inlineStr">
        <is>
          <t>フロントのログ区間の2倍</t>
        </is>
      </c>
      <c r="E28" s="6" t="inlineStr">
        <is>
          <t>計算!C39</t>
        </is>
      </c>
    </row>
    <row r="29" ht="36" customHeight="1">
      <c r="A29" s="7" t="inlineStr">
        <is>
          <t>実測最大の差</t>
        </is>
      </c>
      <c r="B29" s="12">
        <f>計算!C48</f>
        <v/>
      </c>
      <c r="C29" s="7" t="inlineStr">
        <is>
          <t>バック最大−フロント最大</t>
        </is>
      </c>
      <c r="D29" s="7" t="inlineStr">
        <is>
          <t>80−70。新しいバッファではない</t>
        </is>
      </c>
      <c r="E29" s="7" t="inlineStr">
        <is>
          <t>計算!C48</t>
        </is>
      </c>
    </row>
    <row r="30" ht="36" customHeight="1">
      <c r="A30" s="6" t="inlineStr">
        <is>
          <t>バッファの差</t>
        </is>
      </c>
      <c r="B30" s="11">
        <f>計算!C49</f>
        <v/>
      </c>
      <c r="C30" s="6" t="inlineStr">
        <is>
          <t>バックのバッファ−フロントのバッファ</t>
        </is>
      </c>
      <c r="D30" s="6" t="inlineStr">
        <is>
          <t>80−70。2倍方針から出る差</t>
        </is>
      </c>
      <c r="E30" s="6" t="inlineStr">
        <is>
          <t>計算!C49</t>
        </is>
      </c>
    </row>
    <row r="31" ht="36" customHeight="1">
      <c r="A31" s="7" t="inlineStr">
        <is>
          <t>追加分</t>
        </is>
      </c>
      <c r="B31" s="12">
        <f>計算!C50</f>
        <v/>
      </c>
      <c r="C31" s="7" t="inlineStr">
        <is>
          <t>2つの差の和</t>
        </is>
      </c>
      <c r="D31" s="7" t="inlineStr">
        <is>
          <t>遅いほうに合わせるための20秒</t>
        </is>
      </c>
      <c r="E31" s="7" t="inlineStr">
        <is>
          <t>計算!C50</t>
        </is>
      </c>
    </row>
    <row r="32" ht="36" customHeight="1">
      <c r="A32" s="13" t="inlineStr">
        <is>
          <t>フロント startPeriod</t>
        </is>
      </c>
      <c r="B32" s="14">
        <f>計算!C51</f>
        <v/>
      </c>
      <c r="C32" s="13" t="inlineStr">
        <is>
          <t>max(自分の見積, バックの見積)</t>
        </is>
      </c>
      <c r="D32" s="13" t="inlineStr">
        <is>
          <t>検査が両方を見るので長いほう</t>
        </is>
      </c>
      <c r="E32" s="13" t="inlineStr">
        <is>
          <t>計算!C51</t>
        </is>
      </c>
    </row>
    <row r="34" ht="24" customHeight="1">
      <c r="A34" s="4" t="inlineStr">
        <is>
          <t>猶予300秒の使い方</t>
        </is>
      </c>
      <c r="B34" s="4" t="n"/>
      <c r="C34" s="4" t="n"/>
      <c r="D34" s="4" t="n"/>
      <c r="E34" s="4" t="n"/>
    </row>
    <row r="35" ht="30" customHeight="1">
      <c r="A35" s="5" t="inlineStr">
        <is>
          <t>区分</t>
        </is>
      </c>
      <c r="B35" s="5" t="inlineStr">
        <is>
          <t>秒</t>
        </is>
      </c>
      <c r="C35" s="5" t="inlineStr">
        <is>
          <t>計算</t>
        </is>
      </c>
      <c r="D35" s="5" t="inlineStr">
        <is>
          <t>何の時間か</t>
        </is>
      </c>
      <c r="E35" s="5" t="inlineStr">
        <is>
          <t>参照</t>
        </is>
      </c>
    </row>
    <row r="36" ht="34" customHeight="1">
      <c r="A36" s="6" t="inlineStr">
        <is>
          <t>ADOT計画値</t>
        </is>
      </c>
      <c r="B36" s="11">
        <f>計算!C11</f>
        <v/>
      </c>
      <c r="C36" s="6" t="inlineStr">
        <is>
          <t>入力</t>
        </is>
      </c>
      <c r="D36" s="6" t="inlineStr">
        <is>
          <t>アプリのstartPeriodの外。猶予の先頭には含まれる</t>
        </is>
      </c>
      <c r="E36" s="6" t="inlineStr">
        <is>
          <t>計算!C11</t>
        </is>
      </c>
    </row>
    <row r="37" ht="34" customHeight="1">
      <c r="A37" s="7" t="inlineStr">
        <is>
          <t>遅いほうのJBoss見積</t>
        </is>
      </c>
      <c r="B37" s="12">
        <f>計算!C51</f>
        <v/>
      </c>
      <c r="C37" s="7" t="inlineStr">
        <is>
          <t>max</t>
        </is>
      </c>
      <c r="D37" s="7" t="inlineStr">
        <is>
          <t>実測最大とそのバッファ</t>
        </is>
      </c>
      <c r="E37" s="7" t="inlineStr">
        <is>
          <t>計算!C51</t>
        </is>
      </c>
    </row>
    <row r="38" ht="34" customHeight="1">
      <c r="A38" s="6" t="inlineStr">
        <is>
          <t>その後の長いほう</t>
        </is>
      </c>
      <c r="B38" s="11">
        <f>計算!C53</f>
        <v/>
      </c>
      <c r="C38" s="6" t="inlineStr">
        <is>
          <t>max(コンテナinterval, ALB回復)</t>
        </is>
      </c>
      <c r="D38" s="6" t="inlineStr">
        <is>
          <t>同時に進む。足さない</t>
        </is>
      </c>
      <c r="E38" s="6" t="inlineStr">
        <is>
          <t>計算!C53</t>
        </is>
      </c>
    </row>
    <row r="39" ht="34" customHeight="1">
      <c r="A39" s="7" t="inlineStr">
        <is>
          <t>見通し</t>
        </is>
      </c>
      <c r="B39" s="12">
        <f>計算!C55</f>
        <v/>
      </c>
      <c r="C39" s="7" t="inlineStr">
        <is>
          <t>3つの和</t>
        </is>
      </c>
      <c r="D39" s="7" t="inlineStr">
        <is>
          <t>両方healthyの目安</t>
        </is>
      </c>
      <c r="E39" s="7" t="inlineStr">
        <is>
          <t>計算!C55</t>
        </is>
      </c>
    </row>
    <row r="40" ht="34" customHeight="1">
      <c r="A40" s="6" t="inlineStr">
        <is>
          <t>余り</t>
        </is>
      </c>
      <c r="B40" s="11">
        <f>計算!C56</f>
        <v/>
      </c>
      <c r="C40" s="6" t="inlineStr">
        <is>
          <t>猶予−見通し</t>
        </is>
      </c>
      <c r="D40" s="6" t="inlineStr">
        <is>
          <t>計画より遅いとき用</t>
        </is>
      </c>
      <c r="E40" s="6" t="inlineStr">
        <is>
          <t>計算!C56</t>
        </is>
      </c>
    </row>
    <row r="41" ht="34" customHeight="1">
      <c r="A41" s="7" t="inlineStr">
        <is>
          <t>猶予</t>
        </is>
      </c>
      <c r="B41" s="12">
        <f>計算!C20</f>
        <v/>
      </c>
      <c r="C41" s="7" t="inlineStr">
        <is>
          <t>入力</t>
        </is>
      </c>
      <c r="D41" s="7" t="inlineStr">
        <is>
          <t>パターンAの推奨</t>
        </is>
      </c>
      <c r="E41" s="7" t="inlineStr">
        <is>
          <t>計算!C20</t>
        </is>
      </c>
    </row>
    <row r="42" ht="34" customHeight="1">
      <c r="A42" s="6" t="inlineStr">
        <is>
          <t>ADOTが60秒のときの見通し</t>
        </is>
      </c>
      <c r="B42" s="11">
        <f>計算!C57</f>
        <v/>
      </c>
      <c r="C42" s="6" t="inlineStr">
        <is>
          <t>startTimeoutの端</t>
        </is>
      </c>
      <c r="D42" s="6" t="inlineStr">
        <is>
          <t>60を超えたらタスクは起動をあきらめる</t>
        </is>
      </c>
      <c r="E42" s="6" t="inlineStr">
        <is>
          <t>計算!C57</t>
        </is>
      </c>
    </row>
    <row r="43" ht="34" customHeight="1">
      <c r="A43" s="7" t="inlineStr">
        <is>
          <t>その余り</t>
        </is>
      </c>
      <c r="B43" s="12">
        <f>計算!C58</f>
        <v/>
      </c>
      <c r="C43" s="7" t="inlineStr">
        <is>
          <t>猶予−端の見通し</t>
        </is>
      </c>
      <c r="D43" s="7" t="inlineStr">
        <is>
          <t>まだ正なら300秒のままでよい</t>
        </is>
      </c>
      <c r="E43" s="7" t="inlineStr">
        <is>
          <t>計算!C58</t>
        </is>
      </c>
    </row>
    <row r="45" ht="24" customHeight="1">
      <c r="A45" s="4" t="inlineStr">
        <is>
          <t>直列420秒の使い方</t>
        </is>
      </c>
      <c r="B45" s="4" t="n"/>
      <c r="C45" s="4" t="n"/>
      <c r="D45" s="4" t="n"/>
      <c r="E45" s="4" t="n"/>
    </row>
    <row r="46" ht="30" customHeight="1">
      <c r="A46" s="5" t="inlineStr">
        <is>
          <t>区分</t>
        </is>
      </c>
      <c r="B46" s="5" t="inlineStr">
        <is>
          <t>秒</t>
        </is>
      </c>
      <c r="C46" s="5" t="inlineStr">
        <is>
          <t>計算</t>
        </is>
      </c>
      <c r="D46" s="5" t="inlineStr">
        <is>
          <t>何の時間か</t>
        </is>
      </c>
      <c r="E46" s="5" t="inlineStr">
        <is>
          <t>参照</t>
        </is>
      </c>
    </row>
    <row r="47" ht="34" customHeight="1">
      <c r="A47" s="6" t="inlineStr">
        <is>
          <t>ADOT計画値</t>
        </is>
      </c>
      <c r="B47" s="11">
        <f>計算!C11</f>
        <v/>
      </c>
      <c r="C47" s="6" t="inlineStr">
        <is>
          <t>入力</t>
        </is>
      </c>
      <c r="D47" s="6" t="inlineStr">
        <is>
          <t>先頭</t>
        </is>
      </c>
      <c r="E47" s="6" t="inlineStr">
        <is>
          <t>計算!C11</t>
        </is>
      </c>
    </row>
    <row r="48" ht="34" customHeight="1">
      <c r="A48" s="7" t="inlineStr">
        <is>
          <t>バック見積</t>
        </is>
      </c>
      <c r="B48" s="12">
        <f>計算!C38</f>
        <v/>
      </c>
      <c r="C48" s="7" t="inlineStr">
        <is>
          <t>実測最大×倍率</t>
        </is>
      </c>
      <c r="D48" s="7" t="inlineStr">
        <is>
          <t>バックのstartPeriodと同じ</t>
        </is>
      </c>
      <c r="E48" s="7" t="inlineStr">
        <is>
          <t>計算!C38</t>
        </is>
      </c>
    </row>
    <row r="49" ht="34" customHeight="1">
      <c r="A49" s="6" t="inlineStr">
        <is>
          <t>HEALTHYと観測するまで</t>
        </is>
      </c>
      <c r="B49" s="11">
        <f>計算!C13</f>
        <v/>
      </c>
      <c r="C49" s="6" t="inlineStr">
        <is>
          <t>バックinterval</t>
        </is>
      </c>
      <c r="D49" s="6" t="inlineStr">
        <is>
          <t>直列なので、あとの時間と重ならない</t>
        </is>
      </c>
      <c r="E49" s="6" t="inlineStr">
        <is>
          <t>計算!C13</t>
        </is>
      </c>
    </row>
    <row r="50" ht="34" customHeight="1">
      <c r="A50" s="7" t="inlineStr">
        <is>
          <t>フロント自身の見積</t>
        </is>
      </c>
      <c r="B50" s="12">
        <f>計算!C39</f>
        <v/>
      </c>
      <c r="C50" s="7" t="inlineStr">
        <is>
          <t>実測最大×倍率</t>
        </is>
      </c>
      <c r="D50" s="7" t="inlineStr">
        <is>
          <t>相手は既に200を返す。160へ伸ばさない</t>
        </is>
      </c>
      <c r="E50" s="7" t="inlineStr">
        <is>
          <t>計算!C39</t>
        </is>
      </c>
    </row>
    <row r="51" ht="34" customHeight="1">
      <c r="A51" s="6" t="inlineStr">
        <is>
          <t>その後の長いほう</t>
        </is>
      </c>
      <c r="B51" s="11">
        <f>計算!C53</f>
        <v/>
      </c>
      <c r="C51" s="6" t="inlineStr">
        <is>
          <t>max</t>
        </is>
      </c>
      <c r="D51" s="6" t="inlineStr">
        <is>
          <t>コンテナ検査とALB復帰は同時</t>
        </is>
      </c>
      <c r="E51" s="6" t="inlineStr">
        <is>
          <t>計算!C53</t>
        </is>
      </c>
    </row>
    <row r="52" ht="34" customHeight="1">
      <c r="A52" s="7" t="inlineStr">
        <is>
          <t>見通し</t>
        </is>
      </c>
      <c r="B52" s="12">
        <f>計算!C63</f>
        <v/>
      </c>
      <c r="C52" s="7" t="inlineStr">
        <is>
          <t>和</t>
        </is>
      </c>
      <c r="D52" s="7" t="inlineStr">
        <is>
          <t>両方healthy</t>
        </is>
      </c>
      <c r="E52" s="7" t="inlineStr">
        <is>
          <t>計算!C63</t>
        </is>
      </c>
    </row>
    <row r="53" ht="34" customHeight="1">
      <c r="A53" s="6" t="inlineStr">
        <is>
          <t>余り</t>
        </is>
      </c>
      <c r="B53" s="11">
        <f>計算!C64</f>
        <v/>
      </c>
      <c r="C53" s="6" t="inlineStr">
        <is>
          <t>直列用の猶予−見通し</t>
        </is>
      </c>
      <c r="D53" s="6" t="inlineStr">
        <is>
          <t>55秒程度になる入力が初期値</t>
        </is>
      </c>
      <c r="E53" s="6" t="inlineStr">
        <is>
          <t>計算!C64</t>
        </is>
      </c>
    </row>
    <row r="54" ht="34" customHeight="1">
      <c r="A54" s="7" t="inlineStr">
        <is>
          <t>直列の猶予</t>
        </is>
      </c>
      <c r="B54" s="12">
        <f>計算!C21</f>
        <v/>
      </c>
      <c r="C54" s="7" t="inlineStr">
        <is>
          <t>入力</t>
        </is>
      </c>
      <c r="D54" s="7" t="inlineStr">
        <is>
          <t>300秒のままでは不足が正になる</t>
        </is>
      </c>
      <c r="E54" s="7" t="inlineStr">
        <is>
          <t>計算!C21</t>
        </is>
      </c>
    </row>
    <row r="56" ht="36" customHeight="1">
      <c r="A56" s="3" t="inlineStr">
        <is>
          <t>バッファに含まれないもの: イメージ取得、ENI作成、ADOTの起動、ALBの閾値、retriesが尽きてUNHEALTHYになるまでの時間。retries分はstartPeriodの外。</t>
        </is>
      </c>
      <c r="B56" s="3" t="n"/>
      <c r="C56" s="3" t="n"/>
      <c r="D56" s="3" t="n"/>
      <c r="E56" s="3" t="n"/>
    </row>
  </sheetData>
  <mergeCells count="8">
    <mergeCell ref="A34:E34"/>
    <mergeCell ref="A4:E4"/>
    <mergeCell ref="A26:E26"/>
    <mergeCell ref="A2:E2"/>
    <mergeCell ref="A15:E15"/>
    <mergeCell ref="A1:E1"/>
    <mergeCell ref="A45:E45"/>
    <mergeCell ref="A56:E56"/>
  </mergeCells>
  <printOptions horizontalCentered="1"/>
  <pageMargins left="0.4" right="0.4" top="0.6" bottom="0.5" header="0.25" footer="0.25"/>
  <pageSetup orientation="landscape" paperSize="8" fitToHeight="2" fitToWidth="1" horizontalDpi="300" verticalDpi="300"/>
  <headerFooter>
    <oddHeader>&amp;L&amp;"Meiryo UI"&amp;9 ECS Fargate  startPeriod / dependsOn / ALB 猶予&amp;R&amp;"Meiryo UI"&amp;9 バッファ内訳</oddHeader>
    <oddFooter>&amp;L&amp;"Meiryo UI"&amp;8 2026-10-12  検討資料  モノトーン  Meiryo UI&amp;R&amp;"Meiryo UI"&amp;8 ページ &amp;P / &amp;N</oddFooter>
    <evenHeader/>
    <evenFooter/>
    <firstHeader/>
    <firstFooter/>
  </headerFooter>
</worksheet>
</file>

<file path=xl/worksheets/sheet4.xml><?xml version="1.0" encoding="utf-8"?>
<worksheet xmlns="http://schemas.openxmlformats.org/spreadsheetml/2006/main">
  <sheetPr>
    <tabColor rgb="004A4A4A"/>
    <outlinePr summaryBelow="1" summaryRight="1"/>
    <pageSetUpPr fitToPage="1"/>
  </sheetPr>
  <dimension ref="A1:E39"/>
  <sheetViews>
    <sheetView showGridLines="0" zoomScale="110" workbookViewId="0">
      <pane ySplit="5" topLeftCell="A6" activePane="bottomLeft" state="frozen"/>
      <selection pane="bottomLeft" activeCell="A1" sqref="A1"/>
    </sheetView>
  </sheetViews>
  <sheetFormatPr baseColWidth="8" defaultColWidth="14" defaultRowHeight="18"/>
  <cols>
    <col width="34" customWidth="1" min="1" max="1"/>
    <col width="42" customWidth="1" min="2" max="2"/>
    <col width="28" customWidth="1" min="3" max="3"/>
    <col width="36" customWidth="1" min="4" max="4"/>
    <col width="40" customWidth="1" min="5" max="5"/>
  </cols>
  <sheetData>
    <row r="1" ht="36" customHeight="1">
      <c r="A1" s="1" t="inlineStr">
        <is>
          <t>結論</t>
        </is>
      </c>
      <c r="B1" s="1" t="n"/>
      <c r="C1" s="1" t="n"/>
      <c r="D1" s="1" t="n"/>
      <c r="E1" s="1" t="n"/>
    </row>
    <row r="2" ht="48" customHeight="1">
      <c r="A2" s="3" t="inlineStr">
        <is>
          <t>フロントがバックの HEALTHY を待つと、300秒の時点でフロントは起動して約95秒。見積140秒まで45秒足りない。ALBは300秒で検査を始めるのではなく、登録直後から失敗している。300秒でスケジューラが無視をやめる。</t>
        </is>
      </c>
      <c r="B2" s="3" t="n"/>
      <c r="C2" s="3" t="n"/>
      <c r="D2" s="3" t="n"/>
      <c r="E2" s="3" t="n"/>
    </row>
    <row r="4" ht="24" customHeight="1">
      <c r="A4" s="4" t="inlineStr">
        <is>
          <t>推奨する値</t>
        </is>
      </c>
      <c r="B4" s="4" t="n"/>
      <c r="C4" s="4" t="n"/>
      <c r="D4" s="4" t="n"/>
      <c r="E4" s="4" t="n"/>
    </row>
    <row r="5" ht="30" customHeight="1">
      <c r="A5" s="5" t="inlineStr">
        <is>
          <t>対象</t>
        </is>
      </c>
      <c r="B5" s="5" t="inlineStr">
        <is>
          <t>項目</t>
        </is>
      </c>
      <c r="C5" s="5" t="inlineStr">
        <is>
          <t>値</t>
        </is>
      </c>
      <c r="D5" s="5" t="inlineStr">
        <is>
          <t>式</t>
        </is>
      </c>
      <c r="E5" s="5" t="inlineStr">
        <is>
          <t>意図</t>
        </is>
      </c>
    </row>
    <row r="6" ht="32" customHeight="1">
      <c r="A6" s="6" t="inlineStr">
        <is>
          <t>ADOT Collector</t>
        </is>
      </c>
      <c r="B6" s="6" t="inlineStr">
        <is>
          <t>essential / dependsOn</t>
        </is>
      </c>
      <c r="C6" s="6" t="inlineStr">
        <is>
          <t>true / なし</t>
        </is>
      </c>
      <c r="D6" s="6" t="inlineStr">
        <is>
          <t>固定</t>
        </is>
      </c>
      <c r="E6" s="6" t="inlineStr">
        <is>
          <t>最初に起動する。13133の検査を持つ</t>
        </is>
      </c>
    </row>
    <row r="7" ht="32" customHeight="1">
      <c r="A7" s="7" t="inlineStr">
        <is>
          <t>ADOT Collector</t>
        </is>
      </c>
      <c r="B7" s="7" t="inlineStr">
        <is>
          <t>startTimeout</t>
        </is>
      </c>
      <c r="C7" s="12">
        <f>計算!C12</f>
        <v/>
      </c>
      <c r="D7" s="12">
        <f>計算!C12</f>
        <v/>
      </c>
      <c r="E7" s="7" t="inlineStr">
        <is>
          <t>Fargateで書ける上限は120秒</t>
        </is>
      </c>
    </row>
    <row r="8" ht="32" customHeight="1">
      <c r="A8" s="6" t="inlineStr">
        <is>
          <t>ADOT Collector</t>
        </is>
      </c>
      <c r="B8" s="6" t="inlineStr">
        <is>
          <t>startPeriod / interval / timeout / retries</t>
        </is>
      </c>
      <c r="C8" s="6" t="inlineStr">
        <is>
          <t>30 / 5 / 3 / 3</t>
        </is>
      </c>
      <c r="D8" s="6" t="inlineStr">
        <is>
          <t>計算!C30 ほか</t>
        </is>
      </c>
      <c r="E8" s="6" t="inlineStr">
        <is>
          <t>失敗を数えない時間は計画値と同じ30秒</t>
        </is>
      </c>
    </row>
    <row r="9" ht="32" customHeight="1">
      <c r="A9" s="7" t="inlineStr">
        <is>
          <t>CloudWatch Agent</t>
        </is>
      </c>
      <c r="B9" s="7" t="inlineStr">
        <is>
          <t>essential / dependsOn / startTimeout</t>
        </is>
      </c>
      <c r="C9" s="7" t="inlineStr">
        <is>
          <t>true / なし / 付けない</t>
        </is>
      </c>
      <c r="D9" s="7" t="inlineStr">
        <is>
          <t>固定</t>
        </is>
      </c>
      <c r="E9" s="7" t="inlineStr">
        <is>
          <t>誰も待たないのでstartTimeoutは効かない</t>
        </is>
      </c>
    </row>
    <row r="10" ht="32" customHeight="1">
      <c r="A10" s="6" t="inlineStr">
        <is>
          <t>CloudWatch Agent</t>
        </is>
      </c>
      <c r="B10" s="6" t="inlineStr">
        <is>
          <t>startPeriod / interval / timeout / retries</t>
        </is>
      </c>
      <c r="C10" s="6" t="inlineStr">
        <is>
          <t>30 / 10 / 5 / 3</t>
        </is>
      </c>
      <c r="D10" s="6" t="inlineStr">
        <is>
          <t>計算!C31 ほか</t>
        </is>
      </c>
      <c r="E10" s="6" t="inlineStr">
        <is>
          <t>プロセス確認</t>
        </is>
      </c>
    </row>
    <row r="11" ht="32" customHeight="1">
      <c r="A11" s="7" t="inlineStr">
        <is>
          <t>バックエンド</t>
        </is>
      </c>
      <c r="B11" s="7" t="inlineStr">
        <is>
          <t>dependsOn</t>
        </is>
      </c>
      <c r="C11" s="7" t="inlineStr">
        <is>
          <t>ADOTがHEALTHY</t>
        </is>
      </c>
      <c r="D11" s="7" t="inlineStr">
        <is>
          <t>固定</t>
        </is>
      </c>
      <c r="E11" s="7" t="inlineStr">
        <is>
          <t>トレースを受けられるようになってから起動</t>
        </is>
      </c>
    </row>
    <row r="12" ht="32" customHeight="1">
      <c r="A12" s="6" t="inlineStr">
        <is>
          <t>バックエンド</t>
        </is>
      </c>
      <c r="B12" s="6" t="inlineStr">
        <is>
          <t>startTimeout</t>
        </is>
      </c>
      <c r="C12" s="6" t="inlineStr">
        <is>
          <t>付けない</t>
        </is>
      </c>
      <c r="D12" s="6" t="inlineStr">
        <is>
          <t>見積が120秒を超える</t>
        </is>
      </c>
      <c r="E12" s="6" t="inlineStr">
        <is>
          <t>120と書くと正当な遅い起動を打ち切る</t>
        </is>
      </c>
    </row>
    <row r="13" ht="32" customHeight="1">
      <c r="A13" s="13" t="inlineStr">
        <is>
          <t>バックエンド</t>
        </is>
      </c>
      <c r="B13" s="13" t="inlineStr">
        <is>
          <t>startPeriod</t>
        </is>
      </c>
      <c r="C13" s="14">
        <f>計算!C52</f>
        <v/>
      </c>
      <c r="D13" s="14">
        <f>計算!C38</f>
        <v/>
      </c>
      <c r="E13" s="13" t="inlineStr">
        <is>
          <t>実測最大の2倍</t>
        </is>
      </c>
    </row>
    <row r="14" ht="32" customHeight="1">
      <c r="A14" s="6" t="inlineStr">
        <is>
          <t>バックエンド</t>
        </is>
      </c>
      <c r="B14" s="6" t="inlineStr">
        <is>
          <t>interval / timeout / retries</t>
        </is>
      </c>
      <c r="C14" s="6" t="inlineStr">
        <is>
          <t>15 / 5 / 3</t>
        </is>
      </c>
      <c r="D14" s="6" t="inlineStr">
        <is>
          <t>計算!C13 ほか</t>
        </is>
      </c>
      <c r="E14" s="6" t="inlineStr">
        <is>
          <t>自分のhealthcheck</t>
        </is>
      </c>
    </row>
    <row r="15" ht="32" customHeight="1">
      <c r="A15" s="7" t="inlineStr">
        <is>
          <t>フロントエンド</t>
        </is>
      </c>
      <c r="B15" s="7" t="inlineStr">
        <is>
          <t>dependsOn</t>
        </is>
      </c>
      <c r="C15" s="7" t="inlineStr">
        <is>
          <t>ADOTがHEALTHY。バックには依存しない</t>
        </is>
      </c>
      <c r="D15" s="7" t="inlineStr">
        <is>
          <t>固定</t>
        </is>
      </c>
      <c r="E15" s="7" t="inlineStr">
        <is>
          <t>2つのJBossは同時に起動する</t>
        </is>
      </c>
    </row>
    <row r="16" ht="32" customHeight="1">
      <c r="A16" s="13" t="inlineStr">
        <is>
          <t>フロントエンド</t>
        </is>
      </c>
      <c r="B16" s="13" t="inlineStr">
        <is>
          <t>startPeriod</t>
        </is>
      </c>
      <c r="C16" s="14">
        <f>計算!C51</f>
        <v/>
      </c>
      <c r="D16" s="14">
        <f>MAX(計算!C39,計算!C38)</f>
        <v/>
      </c>
      <c r="E16" s="13" t="inlineStr">
        <is>
          <t>検査がバックも見るので長いほう</t>
        </is>
      </c>
    </row>
    <row r="17" ht="32" customHeight="1">
      <c r="A17" s="7" t="inlineStr">
        <is>
          <t>フロントエンド</t>
        </is>
      </c>
      <c r="B17" s="7" t="inlineStr">
        <is>
          <t>interval / timeout / retries</t>
        </is>
      </c>
      <c r="C17" s="7" t="inlineStr">
        <is>
          <t>15 / 10 / 3</t>
        </is>
      </c>
      <c r="D17" s="7" t="inlineStr">
        <is>
          <t>計算!C14 ほか</t>
        </is>
      </c>
      <c r="E17" s="7" t="inlineStr">
        <is>
          <t>URLを2本見るのでtimeoutは10秒</t>
        </is>
      </c>
    </row>
    <row r="18" ht="32" customHeight="1">
      <c r="A18" s="13" t="inlineStr">
        <is>
          <t>ECSサービス</t>
        </is>
      </c>
      <c r="B18" s="13" t="inlineStr">
        <is>
          <t>猶予</t>
        </is>
      </c>
      <c r="C18" s="14">
        <f>計算!C20</f>
        <v/>
      </c>
      <c r="D18" s="14">
        <f>計算!C20</f>
        <v/>
      </c>
      <c r="E18" s="13" t="inlineStr">
        <is>
          <t>見通しは計算!C55、余りは計算!C56</t>
        </is>
      </c>
    </row>
    <row r="19" ht="32" customHeight="1">
      <c r="A19" s="7" t="inlineStr">
        <is>
          <t>ALB</t>
        </is>
      </c>
      <c r="B19" s="7" t="inlineStr">
        <is>
          <t>interval / timeout / healthy / unhealthy</t>
        </is>
      </c>
      <c r="C19" s="7" t="inlineStr">
        <is>
          <t>10 / 5 / 2 / 3</t>
        </is>
      </c>
      <c r="D19" s="7" t="inlineStr">
        <is>
          <t>計算!C17 ほか</t>
        </is>
      </c>
      <c r="E19" s="7" t="inlineStr">
        <is>
          <t>起動中のunhealthyは猶予が無視する</t>
        </is>
      </c>
    </row>
    <row r="21" ht="24" customHeight="1">
      <c r="A21" s="4" t="inlineStr">
        <is>
          <t>300秒という数字が指し得るもの</t>
        </is>
      </c>
      <c r="B21" s="4" t="n"/>
      <c r="C21" s="4" t="n"/>
      <c r="D21" s="4" t="n"/>
      <c r="E21" s="4" t="n"/>
    </row>
    <row r="22" ht="30" customHeight="1">
      <c r="A22" s="5" t="inlineStr">
        <is>
          <t>名前</t>
        </is>
      </c>
      <c r="B22" s="5" t="inlineStr">
        <is>
          <t>設定場所</t>
        </is>
      </c>
      <c r="C22" s="5" t="inlineStr">
        <is>
          <t>今回の扱い</t>
        </is>
      </c>
      <c r="D22" s="5" t="inlineStr">
        <is>
          <t>向き</t>
        </is>
      </c>
      <c r="E22" s="5" t="inlineStr">
        <is>
          <t>初期値</t>
        </is>
      </c>
    </row>
    <row r="23" ht="34" customHeight="1">
      <c r="A23" s="6" t="inlineStr">
        <is>
          <t>healthCheckGracePeriodSeconds</t>
        </is>
      </c>
      <c r="B23" s="6" t="inlineStr">
        <is>
          <t>ECSサービス</t>
        </is>
      </c>
      <c r="C23" s="6" t="inlineStr">
        <is>
          <t>起動中にスケジューラが異常を無視する。推奨は300秒</t>
        </is>
      </c>
      <c r="D23" s="6" t="inlineStr">
        <is>
          <t>起動</t>
        </is>
      </c>
      <c r="E23" s="6" t="inlineStr">
        <is>
          <t>0秒</t>
        </is>
      </c>
    </row>
    <row r="24" ht="34" customHeight="1">
      <c r="A24" s="7" t="inlineStr">
        <is>
          <t>startPeriod</t>
        </is>
      </c>
      <c r="B24" s="7" t="inlineStr">
        <is>
          <t>各コンテナ</t>
        </is>
      </c>
      <c r="C24" s="7" t="inlineStr">
        <is>
          <t>失敗回数を数えない。上限300秒。推奨は160秒または30秒</t>
        </is>
      </c>
      <c r="D24" s="7" t="inlineStr">
        <is>
          <t>そのコンテナの起動</t>
        </is>
      </c>
      <c r="E24" s="7" t="inlineStr">
        <is>
          <t>0秒</t>
        </is>
      </c>
    </row>
    <row r="25" ht="34" customHeight="1">
      <c r="A25" s="6" t="inlineStr">
        <is>
          <t>deregistration_delay.timeout_seconds</t>
        </is>
      </c>
      <c r="B25" s="6" t="inlineStr">
        <is>
          <t>ターゲットグループ</t>
        </is>
      </c>
      <c r="C25" s="6" t="inlineStr">
        <is>
          <t>終了時の接続ドレイン。今回は変えない</t>
        </is>
      </c>
      <c r="D25" s="6" t="inlineStr">
        <is>
          <t>停止</t>
        </is>
      </c>
      <c r="E25" s="6" t="inlineStr">
        <is>
          <t>300秒</t>
        </is>
      </c>
    </row>
    <row r="26" ht="34" customHeight="1">
      <c r="A26" s="7" t="inlineStr">
        <is>
          <t>idle timeout</t>
        </is>
      </c>
      <c r="B26" s="7" t="inlineStr">
        <is>
          <t>ALB</t>
        </is>
      </c>
      <c r="C26" s="7" t="inlineStr">
        <is>
          <t>通信の無い接続を閉じる。ヘルスチェックではない</t>
        </is>
      </c>
      <c r="D26" s="7" t="inlineStr">
        <is>
          <t>通信中</t>
        </is>
      </c>
      <c r="E26" s="7" t="inlineStr">
        <is>
          <t>60秒</t>
        </is>
      </c>
    </row>
    <row r="27" ht="34" customHeight="1">
      <c r="A27" s="6" t="inlineStr">
        <is>
          <t>startTimeout</t>
        </is>
      </c>
      <c r="B27" s="6" t="inlineStr">
        <is>
          <t>待たれるコンテナ</t>
        </is>
      </c>
      <c r="C27" s="6" t="inlineStr">
        <is>
          <t>依存の待ちの打ち切り。Fargateは2〜120秒</t>
        </is>
      </c>
      <c r="D27" s="6" t="inlineStr">
        <is>
          <t>起動順</t>
        </is>
      </c>
      <c r="E27" s="6" t="inlineStr">
        <is>
          <t>未指定の打ち切りはAPIに無い</t>
        </is>
      </c>
    </row>
    <row r="28" ht="34" customHeight="1">
      <c r="A28" s="7" t="inlineStr">
        <is>
          <t>stopTimeout</t>
        </is>
      </c>
      <c r="B28" s="7" t="inlineStr">
        <is>
          <t>各コンテナ</t>
        </is>
      </c>
      <c r="C28" s="7" t="inlineStr">
        <is>
          <t>SIGTERMからSIGKILLまで。起動の見積に足さない</t>
        </is>
      </c>
      <c r="D28" s="7" t="inlineStr">
        <is>
          <t>停止</t>
        </is>
      </c>
      <c r="E28" s="7" t="inlineStr">
        <is>
          <t>30秒。上限120秒</t>
        </is>
      </c>
    </row>
    <row r="30" ht="24" customHeight="1">
      <c r="A30" s="4" t="inlineStr">
        <is>
          <t>直列を残すとき</t>
        </is>
      </c>
      <c r="B30" s="4" t="n"/>
      <c r="C30" s="4" t="n"/>
      <c r="D30" s="4" t="n"/>
      <c r="E30" s="4" t="n"/>
    </row>
    <row r="31" ht="30" customHeight="1">
      <c r="A31" s="5" t="inlineStr">
        <is>
          <t>時点</t>
        </is>
      </c>
      <c r="B31" s="5" t="inlineStr">
        <is>
          <t>秒</t>
        </is>
      </c>
      <c r="C31" s="5" t="inlineStr">
        <is>
          <t>意味</t>
        </is>
      </c>
      <c r="D31" s="5" t="inlineStr"/>
      <c r="E31" s="5" t="inlineStr"/>
    </row>
    <row r="32" ht="28" customHeight="1">
      <c r="A32" s="6" t="inlineStr">
        <is>
          <t>フロント起動</t>
        </is>
      </c>
      <c r="B32" s="11">
        <f>計算!C59</f>
        <v/>
      </c>
      <c r="C32" s="6" t="inlineStr">
        <is>
          <t>ADOT＋バック見積＋観測1回</t>
        </is>
      </c>
      <c r="D32" s="6" t="inlineStr"/>
      <c r="E32" s="6" t="inlineStr"/>
    </row>
    <row r="33" ht="28" customHeight="1">
      <c r="A33" s="7" t="inlineStr">
        <is>
          <t>猶予300秒のときの年齢</t>
        </is>
      </c>
      <c r="B33" s="12">
        <f>計算!C60</f>
        <v/>
      </c>
      <c r="C33" s="7" t="inlineStr">
        <is>
          <t>まだ見積の途中</t>
        </is>
      </c>
      <c r="D33" s="7" t="inlineStr"/>
      <c r="E33" s="7" t="inlineStr"/>
    </row>
    <row r="34" ht="28" customHeight="1">
      <c r="A34" s="6" t="inlineStr">
        <is>
          <t>不足</t>
        </is>
      </c>
      <c r="B34" s="11">
        <f>計算!C61</f>
        <v/>
      </c>
      <c r="C34" s="6" t="inlineStr">
        <is>
          <t>正なら、300秒では見積に届いていない</t>
        </is>
      </c>
      <c r="D34" s="6" t="inlineStr"/>
      <c r="E34" s="6" t="inlineStr"/>
    </row>
    <row r="35" ht="28" customHeight="1">
      <c r="A35" s="7" t="inlineStr">
        <is>
          <t>両方healthyの見通し</t>
        </is>
      </c>
      <c r="B35" s="12">
        <f>計算!C63</f>
        <v/>
      </c>
      <c r="C35" s="7" t="inlineStr">
        <is>
          <t>この秒まで猶予が異常を無視する必要がある</t>
        </is>
      </c>
      <c r="D35" s="7" t="inlineStr"/>
      <c r="E35" s="7" t="inlineStr"/>
    </row>
    <row r="36" ht="28" customHeight="1">
      <c r="A36" s="6" t="inlineStr">
        <is>
          <t>直列の推奨猶予</t>
        </is>
      </c>
      <c r="B36" s="11">
        <f>計算!C21</f>
        <v/>
      </c>
      <c r="C36" s="6" t="inlineStr">
        <is>
          <t>見通しに余りを足した入力値</t>
        </is>
      </c>
      <c r="D36" s="6" t="inlineStr"/>
      <c r="E36" s="6" t="inlineStr"/>
    </row>
    <row r="37" ht="28" customHeight="1">
      <c r="A37" s="7" t="inlineStr">
        <is>
          <t>その余り</t>
        </is>
      </c>
      <c r="B37" s="12">
        <f>計算!C64</f>
        <v/>
      </c>
      <c r="C37" s="7" t="inlineStr">
        <is>
          <t>直列用</t>
        </is>
      </c>
      <c r="D37" s="7" t="inlineStr"/>
      <c r="E37" s="7" t="inlineStr"/>
    </row>
    <row r="39" ht="44" customHeight="1">
      <c r="A39" s="3" t="inlineStr">
        <is>
          <t>startPeriodを短くしても、直列のフロント起動時刻は動かない。動くのは猶予を420秒にすることか、直列をやめること。FargateのstartTimeoutは120秒までなので、205秒前後の待ちを打ち切り秒数としては書けない。</t>
        </is>
      </c>
      <c r="B39" s="3" t="n"/>
      <c r="C39" s="3" t="n"/>
      <c r="D39" s="3" t="n"/>
      <c r="E39" s="3" t="n"/>
    </row>
  </sheetData>
  <mergeCells count="6">
    <mergeCell ref="A30:E30"/>
    <mergeCell ref="A21:E21"/>
    <mergeCell ref="A39:E39"/>
    <mergeCell ref="A4:E4"/>
    <mergeCell ref="A2:E2"/>
    <mergeCell ref="A1:E1"/>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結論</oddHeader>
    <oddFooter>&amp;L&amp;"Meiryo UI"&amp;8 2026-10-12  検討資料  モノトーン  Meiryo UI&amp;R&amp;"Meiryo UI"&amp;8 ページ &amp;P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D20"/>
  <sheetViews>
    <sheetView showGridLines="0" zoomScale="110" workbookViewId="0">
      <pane ySplit="4" topLeftCell="A5" activePane="bottomLeft" state="frozen"/>
      <selection pane="bottomLeft" activeCell="A1" sqref="A1"/>
    </sheetView>
  </sheetViews>
  <sheetFormatPr baseColWidth="8" defaultColWidth="14" defaultRowHeight="18"/>
  <cols>
    <col width="28" customWidth="1" min="1" max="1"/>
    <col width="36" customWidth="1" min="2" max="2"/>
    <col width="55" customWidth="1" min="3" max="3"/>
    <col width="40" customWidth="1" min="4" max="4"/>
  </cols>
  <sheetData>
    <row r="1" ht="36" customHeight="1">
      <c r="A1" s="8" t="inlineStr">
        <is>
          <t>たとえ話    文化祭の教室</t>
        </is>
      </c>
      <c r="B1" s="8" t="n"/>
      <c r="C1" s="8" t="n"/>
      <c r="D1" s="8" t="n"/>
    </row>
    <row r="2" ht="36" customHeight="1">
      <c r="A2" s="3" t="inlineStr">
        <is>
          <t>1つの教室が1つのFargateタスク。4人は同じ内線（localhost）を使う。廊下の先生はALB。校長はECSのサービススケジューラ。</t>
        </is>
      </c>
      <c r="B2" s="3" t="n"/>
      <c r="C2" s="3" t="n"/>
      <c r="D2" s="3" t="n"/>
    </row>
    <row r="4" ht="30" customHeight="1">
      <c r="A4" s="5" t="inlineStr">
        <is>
          <t>教室の人</t>
        </is>
      </c>
      <c r="B4" s="5" t="inlineStr">
        <is>
          <t>コンテナ</t>
        </is>
      </c>
      <c r="C4" s="5" t="inlineStr">
        <is>
          <t>仕事</t>
        </is>
      </c>
      <c r="D4" s="5" t="inlineStr">
        <is>
          <t>対応する設定</t>
        </is>
      </c>
    </row>
    <row r="5" ht="44" customHeight="1">
      <c r="A5" s="6" t="inlineStr">
        <is>
          <t>図書係</t>
        </is>
      </c>
      <c r="B5" s="6" t="inlineStr">
        <is>
          <t>ADOT Collector</t>
        </is>
      </c>
      <c r="C5" s="6" t="inlineStr">
        <is>
          <t>来場者の行動メモを受け取る。席に着く前に渡されたメモは床に落ちる</t>
        </is>
      </c>
      <c r="D5" s="6" t="inlineStr">
        <is>
          <t>dependsOn HEALTHY。ポート13133</t>
        </is>
      </c>
    </row>
    <row r="6" ht="44" customHeight="1">
      <c r="A6" s="7" t="inlineStr">
        <is>
          <t>出席係</t>
        </is>
      </c>
      <c r="B6" s="7" t="inlineStr">
        <is>
          <t>CloudWatch Agent</t>
        </is>
      </c>
      <c r="C6" s="7" t="inlineStr">
        <is>
          <t>係が席にいるかを見る。料理の完成は見ない</t>
        </is>
      </c>
      <c r="D6" s="7" t="inlineStr">
        <is>
          <t>プロセス確認。誰もこの人を待たない</t>
        </is>
      </c>
    </row>
    <row r="7" ht="44" customHeight="1">
      <c r="A7" s="6" t="inlineStr">
        <is>
          <t>調理係</t>
        </is>
      </c>
      <c r="B7" s="6" t="inlineStr">
        <is>
          <t>バックエンド JBoss</t>
        </is>
      </c>
      <c r="C7" s="6" t="inlineStr">
        <is>
          <t>実測は20〜80秒。見積は一番遅かった時間の2倍で160秒</t>
        </is>
      </c>
      <c r="D7" s="6" t="inlineStr">
        <is>
          <t>startPeriod 160秒</t>
        </is>
      </c>
    </row>
    <row r="8" ht="44" customHeight="1">
      <c r="A8" s="7" t="inlineStr">
        <is>
          <t>受付</t>
        </is>
      </c>
      <c r="B8" s="7" t="inlineStr">
        <is>
          <t>フロントエンド JBoss</t>
        </is>
      </c>
      <c r="C8" s="7" t="inlineStr">
        <is>
          <t>実測は15〜70秒。見積140秒。健康確認で調理係の窓口も見る</t>
        </is>
      </c>
      <c r="D8" s="7" t="inlineStr">
        <is>
          <t>startPeriodは長いほうの160秒</t>
        </is>
      </c>
    </row>
    <row r="9" ht="44" customHeight="1">
      <c r="A9" s="6" t="inlineStr">
        <is>
          <t>廊下の先生</t>
        </is>
      </c>
      <c r="B9" s="6" t="inlineStr">
        <is>
          <t>ALB</t>
        </is>
      </c>
      <c r="C9" s="6" t="inlineStr">
        <is>
          <t>名簿に載った瞬間から受付のドアを叩く。300秒待ってから叩き始めはしない</t>
        </is>
      </c>
      <c r="D9" s="6" t="inlineStr">
        <is>
          <t>interval 10秒、閾値2と3</t>
        </is>
      </c>
    </row>
    <row r="10" ht="44" customHeight="1">
      <c r="A10" s="7" t="inlineStr">
        <is>
          <t>校長</t>
        </is>
      </c>
      <c r="B10" s="7" t="inlineStr">
        <is>
          <t>ECSサービススケジューラ</t>
        </is>
      </c>
      <c r="C10" s="7" t="inlineStr">
        <is>
          <t>朝の300秒は、先生がダメと言っても教室を畳まない。過ぎたら畳む</t>
        </is>
      </c>
      <c r="D10" s="7" t="inlineStr">
        <is>
          <t>healthCheckGracePeriodSeconds</t>
        </is>
      </c>
    </row>
    <row r="11" ht="44" customHeight="1">
      <c r="A11" s="6" t="inlineStr">
        <is>
          <t>靴ひものカード</t>
        </is>
      </c>
      <c r="B11" s="6" t="inlineStr">
        <is>
          <t>startPeriod</t>
        </is>
      </c>
      <c r="C11" s="6" t="inlineStr">
        <is>
          <t>結んでいるあいだは失敗を数えない。早く結べば残り時間を待たない</t>
        </is>
      </c>
      <c r="D11" s="6" t="inlineStr">
        <is>
          <t>上限300秒</t>
        </is>
      </c>
    </row>
    <row r="12" ht="44" customHeight="1">
      <c r="A12" s="7" t="inlineStr">
        <is>
          <t>あの人ができてから出る</t>
        </is>
      </c>
      <c r="B12" s="7" t="inlineStr">
        <is>
          <t>dependsOn HEALTHY</t>
        </is>
      </c>
      <c r="C12" s="7" t="inlineStr">
        <is>
          <t>調理係の完了を待ってから受付が始めると、待ちは足し算になる</t>
        </is>
      </c>
      <c r="D12" s="7" t="inlineStr">
        <is>
          <t>パターンB</t>
        </is>
      </c>
    </row>
    <row r="14" ht="24" customHeight="1">
      <c r="A14" s="4" t="inlineStr">
        <is>
          <t>足し算と、遅いほう</t>
        </is>
      </c>
      <c r="B14" s="4" t="n"/>
      <c r="C14" s="4" t="n"/>
      <c r="D14" s="4" t="n"/>
    </row>
    <row r="15" ht="30" customHeight="1">
      <c r="A15" s="5" t="inlineStr">
        <is>
          <t>やり方</t>
        </is>
      </c>
      <c r="B15" s="5" t="inlineStr">
        <is>
          <t>待ち方</t>
        </is>
      </c>
      <c r="C15" s="5" t="inlineStr">
        <is>
          <t>時間の形</t>
        </is>
      </c>
      <c r="D15" s="5" t="inlineStr">
        <is>
          <t>結果</t>
        </is>
      </c>
    </row>
    <row r="16" ht="40" customHeight="1">
      <c r="A16" s="6" t="inlineStr">
        <is>
          <t>同時に始める</t>
        </is>
      </c>
      <c r="B16" s="6" t="inlineStr">
        <is>
          <t>図書係が座ってから、調理と受付が一緒に始める</t>
        </is>
      </c>
      <c r="C16" s="6" t="inlineStr">
        <is>
          <t>遅いほうの1人分</t>
        </is>
      </c>
      <c r="D16" s="6" t="inlineStr">
        <is>
          <t>推奨。見通しは計算シートの両方healthy</t>
        </is>
      </c>
    </row>
    <row r="17" ht="40" customHeight="1">
      <c r="A17" s="7" t="inlineStr">
        <is>
          <t>受付が調理を待つ</t>
        </is>
      </c>
      <c r="B17" s="7" t="inlineStr">
        <is>
          <t>調理が終わってから受付が包丁を持つ</t>
        </is>
      </c>
      <c r="C17" s="7" t="inlineStr">
        <is>
          <t>2人分の足し算</t>
        </is>
      </c>
      <c r="D17" s="7" t="inlineStr">
        <is>
          <t>300秒の時点で受付はまだ途中</t>
        </is>
      </c>
    </row>
    <row r="18" ht="40" customHeight="1">
      <c r="A18" s="6" t="inlineStr">
        <is>
          <t>カードを短くする</t>
        </is>
      </c>
      <c r="B18" s="6" t="inlineStr">
        <is>
          <t>靴ひもカードだけを短くする</t>
        </is>
      </c>
      <c r="C18" s="6" t="inlineStr">
        <is>
          <t>人の動きは変わらない</t>
        </is>
      </c>
      <c r="D18" s="6" t="inlineStr">
        <is>
          <t>正当な遅い起動を失敗扱いにする</t>
        </is>
      </c>
    </row>
    <row r="20" ht="36" customHeight="1">
      <c r="A20" s="3" t="inlineStr">
        <is>
          <t>カード（startPeriod）は人を待たせるベルではない。早く準備できた人は、カードの残り時間があっても、その場で準備完了になる。</t>
        </is>
      </c>
      <c r="B20" s="3" t="n"/>
      <c r="C20" s="3" t="n"/>
      <c r="D20" s="3" t="n"/>
    </row>
  </sheetData>
  <mergeCells count="4">
    <mergeCell ref="A1:D1"/>
    <mergeCell ref="A14:D14"/>
    <mergeCell ref="A20:D20"/>
    <mergeCell ref="A2:D2"/>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たとえ話</oddHeader>
    <oddFooter>&amp;L&amp;"Meiryo UI"&amp;8 2026-10-12  検討資料  モノトーン  Meiryo UI&amp;R&amp;"Meiryo UI"&amp;8 ページ &amp;P / &amp;N</oddFooter>
    <evenHeader/>
    <evenFooter/>
    <firstHeader/>
    <firstFooter/>
  </headerFooter>
</worksheet>
</file>

<file path=xl/worksheets/sheet6.xml><?xml version="1.0" encoding="utf-8"?>
<worksheet xmlns="http://schemas.openxmlformats.org/spreadsheetml/2006/main">
  <sheetPr>
    <tabColor rgb="004A4A4A"/>
    <outlinePr summaryBelow="1" summaryRight="1"/>
    <pageSetUpPr fitToPage="1"/>
  </sheetPr>
  <dimension ref="A1:D29"/>
  <sheetViews>
    <sheetView showGridLines="0" zoomScale="110" workbookViewId="0">
      <pane ySplit="4" topLeftCell="A5" activePane="bottomLeft" state="frozen"/>
      <selection pane="bottomLeft" activeCell="A1" sqref="A1"/>
    </sheetView>
  </sheetViews>
  <sheetFormatPr baseColWidth="8" defaultColWidth="14" defaultRowHeight="18"/>
  <cols>
    <col width="34" customWidth="1" min="1" max="1"/>
    <col width="38" customWidth="1" min="2" max="2"/>
    <col width="42" customWidth="1" min="3" max="3"/>
    <col width="46" customWidth="1" min="4" max="4"/>
  </cols>
  <sheetData>
    <row r="1" ht="36" customHeight="1">
      <c r="A1" s="8" t="inlineStr">
        <is>
          <t>時計の仕組み    誰が秒を数えるか</t>
        </is>
      </c>
      <c r="B1" s="8" t="n"/>
      <c r="C1" s="8" t="n"/>
      <c r="D1" s="8" t="n"/>
    </row>
    <row r="2" ht="32" customHeight="1">
      <c r="A2" s="3" t="inlineStr">
        <is>
          <t>タイマーは4つ以上あり、開始点も、異常のあとの行動も違う。1つの300秒では兼ねられない。</t>
        </is>
      </c>
      <c r="B2" s="3" t="n"/>
      <c r="C2" s="3" t="n"/>
      <c r="D2" s="3" t="n"/>
    </row>
    <row r="4" ht="30" customHeight="1">
      <c r="A4" s="5" t="inlineStr">
        <is>
          <t>動作</t>
        </is>
      </c>
      <c r="B4" s="5" t="inlineStr">
        <is>
          <t>持ち主</t>
        </is>
      </c>
      <c r="C4" s="5" t="inlineStr">
        <is>
          <t>始まる時点</t>
        </is>
      </c>
      <c r="D4" s="5" t="inlineStr">
        <is>
          <t>終わるあとの行動</t>
        </is>
      </c>
    </row>
    <row r="5" ht="40" customHeight="1">
      <c r="A5" s="6" t="inlineStr">
        <is>
          <t>イメージ取得とENI</t>
        </is>
      </c>
      <c r="B5" s="6" t="inlineStr">
        <is>
          <t>ECSとFargate</t>
        </is>
      </c>
      <c r="C5" s="6" t="inlineStr">
        <is>
          <t>タスク作成。PROVISIONINGからACTIVATING</t>
        </is>
      </c>
      <c r="D5" s="6" t="inlineStr">
        <is>
          <t>コンテナ起動の前。startPeriodの外</t>
        </is>
      </c>
    </row>
    <row r="6" ht="40" customHeight="1">
      <c r="A6" s="7" t="inlineStr">
        <is>
          <t>ターゲット登録</t>
        </is>
      </c>
      <c r="B6" s="7" t="inlineStr">
        <is>
          <t>ECS。状態はACTIVATING</t>
        </is>
      </c>
      <c r="C6" s="7" t="inlineStr">
        <is>
          <t>コンテナが仕事を始める前後</t>
        </is>
      </c>
      <c r="D6" s="7" t="inlineStr">
        <is>
          <t>ALBが検査を始める</t>
        </is>
      </c>
    </row>
    <row r="7" ht="40" customHeight="1">
      <c r="A7" s="6" t="inlineStr">
        <is>
          <t>起動順</t>
        </is>
      </c>
      <c r="B7" s="6" t="inlineStr">
        <is>
          <t>ECSエージェント</t>
        </is>
      </c>
      <c r="C7" s="6" t="inlineStr">
        <is>
          <t>dependsOnの条件が満たされたとき</t>
        </is>
      </c>
      <c r="D7" s="6" t="inlineStr">
        <is>
          <t>条件の相手がHEALTHYになるまでプロセスを作らない</t>
        </is>
      </c>
    </row>
    <row r="8" ht="40" customHeight="1">
      <c r="A8" s="7" t="inlineStr">
        <is>
          <t>検査コマンド</t>
        </is>
      </c>
      <c r="B8" s="7" t="inlineStr">
        <is>
          <t>コンテナの中</t>
        </is>
      </c>
      <c r="C8" s="7" t="inlineStr">
        <is>
          <t>起動から約1 interval後が最初</t>
        </is>
      </c>
      <c r="D8" s="7" t="inlineStr">
        <is>
          <t>終了コード0なら成功</t>
        </is>
      </c>
    </row>
    <row r="9" ht="40" customHeight="1">
      <c r="A9" s="6" t="inlineStr">
        <is>
          <t>失敗を数えない</t>
        </is>
      </c>
      <c r="B9" s="6" t="inlineStr">
        <is>
          <t>startPeriod</t>
        </is>
      </c>
      <c r="C9" s="6" t="inlineStr">
        <is>
          <t>そのコンテナの起動</t>
        </is>
      </c>
      <c r="D9" s="6" t="inlineStr">
        <is>
          <t>成功した時点で終わり、その後の失敗は数える</t>
        </is>
      </c>
    </row>
    <row r="10" ht="40" customHeight="1">
      <c r="A10" s="7" t="inlineStr">
        <is>
          <t>HEALTHYにする</t>
        </is>
      </c>
      <c r="B10" s="7" t="inlineStr">
        <is>
          <t>ECS</t>
        </is>
      </c>
      <c r="C10" s="7" t="inlineStr">
        <is>
          <t>成功が1回出たとき</t>
        </is>
      </c>
      <c r="D10" s="7" t="inlineStr">
        <is>
          <t>dependsOnの相手は、ここで待っていた側を起動できる</t>
        </is>
      </c>
    </row>
    <row r="11" ht="40" customHeight="1">
      <c r="A11" s="6" t="inlineStr">
        <is>
          <t>タスクをUNHEALTHY</t>
        </is>
      </c>
      <c r="B11" s="6" t="inlineStr">
        <is>
          <t>ECS</t>
        </is>
      </c>
      <c r="C11" s="6" t="inlineStr">
        <is>
          <t>essentialが1つでもUNHEALTHY</t>
        </is>
      </c>
      <c r="D11" s="6" t="inlineStr">
        <is>
          <t>猶予の外ならスケジューラが止める</t>
        </is>
      </c>
    </row>
    <row r="12" ht="40" customHeight="1">
      <c r="A12" s="7" t="inlineStr">
        <is>
          <t>タスクを止める判断</t>
        </is>
      </c>
      <c r="B12" s="7" t="inlineStr">
        <is>
          <t>サービススケジューラ</t>
        </is>
      </c>
      <c r="C12" s="7" t="inlineStr">
        <is>
          <t>猶予の終了後</t>
        </is>
      </c>
      <c r="D12" s="7" t="inlineStr">
        <is>
          <t>ELB、VPC Lattice、コンテナ検査の異常を採用する</t>
        </is>
      </c>
    </row>
    <row r="13" ht="40" customHeight="1">
      <c r="A13" s="6" t="inlineStr">
        <is>
          <t>トラフィック</t>
        </is>
      </c>
      <c r="B13" s="6" t="inlineStr">
        <is>
          <t>ALB</t>
        </is>
      </c>
      <c r="C13" s="6" t="inlineStr">
        <is>
          <t>ターゲットがhealthy</t>
        </is>
      </c>
      <c r="D13" s="6" t="inlineStr">
        <is>
          <t>猶予はALBの判定を消さない</t>
        </is>
      </c>
    </row>
    <row r="14" ht="40" customHeight="1">
      <c r="A14" s="7" t="inlineStr">
        <is>
          <t>トレース受信</t>
        </is>
      </c>
      <c r="B14" s="7" t="inlineStr">
        <is>
          <t>ADOT</t>
        </is>
      </c>
      <c r="C14" s="7" t="inlineStr">
        <is>
          <t>パイプラインと13133の準備後</t>
        </is>
      </c>
      <c r="D14" s="7" t="inlineStr">
        <is>
          <t>準備前の送信は、アプリが再送しなければ落ちる</t>
        </is>
      </c>
    </row>
    <row r="16" ht="24" customHeight="1">
      <c r="A16" s="4" t="inlineStr">
        <is>
          <t>タスクの健康が決まる順</t>
        </is>
      </c>
      <c r="B16" s="4" t="n"/>
      <c r="C16" s="4" t="n"/>
      <c r="D16" s="4" t="n"/>
    </row>
    <row r="17" ht="30" customHeight="1">
      <c r="A17" s="5" t="inlineStr">
        <is>
          <t>順</t>
        </is>
      </c>
      <c r="B17" s="5" t="inlineStr">
        <is>
          <t>条件</t>
        </is>
      </c>
      <c r="C17" s="5" t="inlineStr">
        <is>
          <t>タスクの健康</t>
        </is>
      </c>
      <c r="D17" s="5" t="inlineStr">
        <is>
          <t>注意</t>
        </is>
      </c>
    </row>
    <row r="18" ht="36" customHeight="1">
      <c r="A18" s="6" t="inlineStr">
        <is>
          <t>1</t>
        </is>
      </c>
      <c r="B18" s="6" t="inlineStr">
        <is>
          <t>essentialが1つでもUNHEALTHY</t>
        </is>
      </c>
      <c r="C18" s="6" t="inlineStr">
        <is>
          <t>UNHEALTHY</t>
        </is>
      </c>
      <c r="D18" s="6" t="inlineStr">
        <is>
          <t>CloudWatch Agentもessentialなら、プロセス検査の失敗で全体が異常</t>
        </is>
      </c>
    </row>
    <row r="19" ht="36" customHeight="1">
      <c r="A19" s="7" t="inlineStr">
        <is>
          <t>2</t>
        </is>
      </c>
      <c r="B19" s="7" t="inlineStr">
        <is>
          <t>上でなく、essentialが1つでもUNKNOWN</t>
        </is>
      </c>
      <c r="C19" s="7" t="inlineStr">
        <is>
          <t>UNKNOWN</t>
        </is>
      </c>
      <c r="D19" s="7" t="inlineStr">
        <is>
          <t>起動直後はここ。壊れているとはまだ限らない</t>
        </is>
      </c>
    </row>
    <row r="20" ht="36" customHeight="1">
      <c r="A20" s="6" t="inlineStr">
        <is>
          <t>3</t>
        </is>
      </c>
      <c r="B20" s="6" t="inlineStr">
        <is>
          <t>検査を持つessentialが全部HEALTHY</t>
        </is>
      </c>
      <c r="C20" s="6" t="inlineStr">
        <is>
          <t>HEALTHY</t>
        </is>
      </c>
      <c r="D20" s="6" t="inlineStr">
        <is>
          <t>検査の無いコンテナはこの判定に入らない</t>
        </is>
      </c>
    </row>
    <row r="22" ht="24" customHeight="1">
      <c r="A22" s="4" t="inlineStr">
        <is>
          <t>猶予について文書が言っていること</t>
        </is>
      </c>
      <c r="B22" s="4" t="n"/>
      <c r="C22" s="4" t="n"/>
      <c r="D22" s="4" t="n"/>
    </row>
    <row r="23" ht="30" customHeight="1">
      <c r="A23" s="5" t="inlineStr">
        <is>
          <t>文書</t>
        </is>
      </c>
      <c r="B23" s="5" t="inlineStr">
        <is>
          <t>言っていること</t>
        </is>
      </c>
      <c r="C23" s="5" t="inlineStr">
        <is>
          <t>読み方</t>
        </is>
      </c>
      <c r="D23" s="5" t="inlineStr">
        <is>
          <t>扱い</t>
        </is>
      </c>
    </row>
    <row r="24" ht="44" customHeight="1">
      <c r="A24" s="6" t="inlineStr">
        <is>
          <t>開発者ガイド 2026-10-10</t>
        </is>
      </c>
      <c r="B24" s="6" t="inlineStr">
        <is>
          <t>タスクが最初に開始されたあと、異常なELB、VPC Lattice、コンテナ検査を無視する</t>
        </is>
      </c>
      <c r="C24" s="6" t="inlineStr">
        <is>
          <t>無視するのはスケジューラの停止判断</t>
        </is>
      </c>
      <c r="D24" s="6" t="inlineStr">
        <is>
          <t>契約としてこちらを優先</t>
        </is>
      </c>
    </row>
    <row r="25" ht="44" customHeight="1">
      <c r="A25" s="7" t="inlineStr">
        <is>
          <t>2017-12-27の告知</t>
        </is>
      </c>
      <c r="B25" s="7" t="inlineStr">
        <is>
          <t>ELBの検査を、定められた時間無視する</t>
        </is>
      </c>
      <c r="C25" s="7" t="inlineStr">
        <is>
          <t>当時の対象はELB</t>
        </is>
      </c>
      <c r="D25" s="7" t="inlineStr">
        <is>
          <t>歴史。いまの文面は広い</t>
        </is>
      </c>
    </row>
    <row r="26" ht="44" customHeight="1">
      <c r="A26" s="6" t="inlineStr">
        <is>
          <t>コンソールヘルプ</t>
        </is>
      </c>
      <c r="B26" s="6" t="inlineStr">
        <is>
          <t>ELBを無視し、RUNNING前に止めないため</t>
        </is>
      </c>
      <c r="C26" s="6" t="inlineStr">
        <is>
          <t>開発者ガイドより狭い</t>
        </is>
      </c>
      <c r="D26" s="6" t="inlineStr">
        <is>
          <t>開始点の特定には使わない</t>
        </is>
      </c>
    </row>
    <row r="27" ht="44" customHeight="1">
      <c r="A27" s="7" t="inlineStr">
        <is>
          <t>ALBの仕様</t>
        </is>
      </c>
      <c r="B27" s="7" t="inlineStr">
        <is>
          <t>登録後に検査する。新規は成功1回でhealthy。戻るときは閾値</t>
        </is>
      </c>
      <c r="C27" s="7" t="inlineStr">
        <is>
          <t>猶予は検査を遅らせない</t>
        </is>
      </c>
      <c r="D27" s="7" t="inlineStr">
        <is>
          <t>起動中にunhealthyになるのは想定内</t>
        </is>
      </c>
    </row>
    <row r="29" ht="44" customHeight="1">
      <c r="A29" s="3" t="inlineStr">
        <is>
          <t>開始点が状態名のどれかは、開発者ガイドの一文では特定できない。安全側では、ターゲット登録が済んだ時点で時計は動いているものとして秒数を置いている。イメージ取得の長さは、この300秒に含めていない。</t>
        </is>
      </c>
      <c r="B29" s="3" t="n"/>
      <c r="C29" s="3" t="n"/>
      <c r="D29" s="3" t="n"/>
    </row>
  </sheetData>
  <mergeCells count="5">
    <mergeCell ref="A1:D1"/>
    <mergeCell ref="A22:D22"/>
    <mergeCell ref="A29:D29"/>
    <mergeCell ref="A16:D16"/>
    <mergeCell ref="A2:D2"/>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時計の仕組み</oddHeader>
    <oddFooter>&amp;L&amp;"Meiryo UI"&amp;8 2026-10-12  検討資料  モノトーン  Meiryo UI&amp;R&amp;"Meiryo UI"&amp;8 ページ &amp;P / &amp;N</oddFooter>
    <evenHeader/>
    <evenFooter/>
    <firstHeader/>
    <firstFooter/>
  </headerFooter>
</worksheet>
</file>

<file path=xl/worksheets/sheet7.xml><?xml version="1.0" encoding="utf-8"?>
<worksheet xmlns="http://schemas.openxmlformats.org/spreadsheetml/2006/main">
  <sheetPr>
    <tabColor rgb="004A4A4A"/>
    <outlinePr summaryBelow="1" summaryRight="1"/>
    <pageSetUpPr fitToPage="1"/>
  </sheetPr>
  <dimension ref="A1:E30"/>
  <sheetViews>
    <sheetView showGridLines="0" zoomScale="110" workbookViewId="0">
      <pane ySplit="5" topLeftCell="A6" activePane="bottomLeft" state="frozen"/>
      <selection pane="bottomLeft" activeCell="A1" sqref="A1"/>
    </sheetView>
  </sheetViews>
  <sheetFormatPr baseColWidth="8" defaultColWidth="14" defaultRowHeight="18"/>
  <cols>
    <col width="38" customWidth="1" min="1" max="1"/>
    <col width="28" customWidth="1" min="2" max="2"/>
    <col width="22" customWidth="1" min="3" max="3"/>
    <col width="36" customWidth="1" min="4" max="4"/>
    <col width="36" customWidth="1" min="5" max="5"/>
  </cols>
  <sheetData>
    <row r="1" ht="36" customHeight="1">
      <c r="A1" s="8" t="inlineStr">
        <is>
          <t>指定できる値    2026-10月のAPI</t>
        </is>
      </c>
      <c r="B1" s="8" t="n"/>
      <c r="C1" s="8" t="n"/>
      <c r="D1" s="8" t="n"/>
      <c r="E1" s="8" t="n"/>
    </row>
    <row r="2" ht="36" customHeight="1">
      <c r="A2" s="3" t="inlineStr">
        <is>
          <t>範囲を超える値はタスク定義またはサービス定義として登録できない。startPeriodの301秒は書けない。FargateのstartTimeoutの121秒も書けない。</t>
        </is>
      </c>
      <c r="B2" s="3" t="n"/>
      <c r="C2" s="3" t="n"/>
      <c r="D2" s="3" t="n"/>
      <c r="E2" s="3" t="n"/>
    </row>
    <row r="4" ht="24" customHeight="1">
      <c r="A4" s="4" t="inlineStr">
        <is>
          <t>コンテナヘルスチェック</t>
        </is>
      </c>
      <c r="B4" s="4" t="n"/>
      <c r="C4" s="4" t="n"/>
      <c r="D4" s="4" t="n"/>
      <c r="E4" s="4" t="n"/>
    </row>
    <row r="5" ht="30" customHeight="1">
      <c r="A5" s="5" t="inlineStr">
        <is>
          <t>項目</t>
        </is>
      </c>
      <c r="B5" s="5" t="inlineStr">
        <is>
          <t>範囲</t>
        </is>
      </c>
      <c r="C5" s="5" t="inlineStr">
        <is>
          <t>初期値</t>
        </is>
      </c>
      <c r="D5" s="5" t="inlineStr">
        <is>
          <t>今回</t>
        </is>
      </c>
      <c r="E5" s="5" t="inlineStr">
        <is>
          <t>備考</t>
        </is>
      </c>
    </row>
    <row r="6" ht="36" customHeight="1">
      <c r="A6" s="6" t="inlineStr">
        <is>
          <t>command</t>
        </is>
      </c>
      <c r="B6" s="6" t="inlineStr">
        <is>
          <t>CMDまたはCMD-SHELLで始まる配列</t>
        </is>
      </c>
      <c r="C6" s="6" t="inlineStr">
        <is>
          <t>必須</t>
        </is>
      </c>
      <c r="D6" s="6" t="inlineStr">
        <is>
          <t>イメージ内に実在するコマンド</t>
        </is>
      </c>
      <c r="E6" s="6" t="inlineStr">
        <is>
          <t>終了コード0が成功</t>
        </is>
      </c>
    </row>
    <row r="7" ht="36" customHeight="1">
      <c r="A7" s="7" t="inlineStr">
        <is>
          <t>interval</t>
        </is>
      </c>
      <c r="B7" s="7" t="inlineStr">
        <is>
          <t>5〜300秒</t>
        </is>
      </c>
      <c r="C7" s="7" t="inlineStr">
        <is>
          <t>30秒</t>
        </is>
      </c>
      <c r="D7" s="7" t="inlineStr">
        <is>
          <t>ADOT 5、CW 10、JBoss 15</t>
        </is>
      </c>
      <c r="E7" s="7" t="inlineStr">
        <is>
          <t>最初の検査もおおよそこの間隔のあと</t>
        </is>
      </c>
    </row>
    <row r="8" ht="36" customHeight="1">
      <c r="A8" s="6" t="inlineStr">
        <is>
          <t>timeout</t>
        </is>
      </c>
      <c r="B8" s="6" t="inlineStr">
        <is>
          <t>2〜60秒</t>
        </is>
      </c>
      <c r="C8" s="6" t="inlineStr">
        <is>
          <t>5秒</t>
        </is>
      </c>
      <c r="D8" s="6" t="inlineStr">
        <is>
          <t>ADOT 3、CW 5、バック5、フロント10</t>
        </is>
      </c>
      <c r="E8" s="6" t="inlineStr">
        <is>
          <t>intervalより短くする</t>
        </is>
      </c>
    </row>
    <row r="9" ht="36" customHeight="1">
      <c r="A9" s="7" t="inlineStr">
        <is>
          <t>retries</t>
        </is>
      </c>
      <c r="B9" s="7" t="inlineStr">
        <is>
          <t>1〜10</t>
        </is>
      </c>
      <c r="C9" s="7" t="inlineStr">
        <is>
          <t>3</t>
        </is>
      </c>
      <c r="D9" s="7" t="inlineStr">
        <is>
          <t>すべて3</t>
        </is>
      </c>
      <c r="E9" s="7" t="inlineStr">
        <is>
          <t>startPeriodのあとの連続失敗回数</t>
        </is>
      </c>
    </row>
    <row r="10" ht="36" customHeight="1">
      <c r="A10" s="6" t="inlineStr">
        <is>
          <t>startPeriod</t>
        </is>
      </c>
      <c r="B10" s="6" t="inlineStr">
        <is>
          <t>0〜300秒</t>
        </is>
      </c>
      <c r="C10" s="6" t="inlineStr">
        <is>
          <t>0</t>
        </is>
      </c>
      <c r="D10" s="6" t="inlineStr">
        <is>
          <t>ADOT 30、CW 30、JBoss 160</t>
        </is>
      </c>
      <c r="E10" s="6" t="inlineStr">
        <is>
          <t>成功すると残り時間を待たない</t>
        </is>
      </c>
    </row>
    <row r="12" ht="24" customHeight="1">
      <c r="A12" s="4" t="inlineStr">
        <is>
          <t>dependsOn</t>
        </is>
      </c>
      <c r="B12" s="4" t="n"/>
      <c r="C12" s="4" t="n"/>
      <c r="D12" s="4" t="n"/>
      <c r="E12" s="4" t="n"/>
    </row>
    <row r="13" ht="30" customHeight="1">
      <c r="A13" s="5" t="inlineStr">
        <is>
          <t>条件</t>
        </is>
      </c>
      <c r="B13" s="5" t="inlineStr">
        <is>
          <t>意味</t>
        </is>
      </c>
      <c r="C13" s="5" t="inlineStr">
        <is>
          <t>今回</t>
        </is>
      </c>
      <c r="D13" s="5" t="inlineStr">
        <is>
          <t>制約</t>
        </is>
      </c>
      <c r="E13" s="5" t="inlineStr">
        <is>
          <t>備考</t>
        </is>
      </c>
    </row>
    <row r="14" ht="36" customHeight="1">
      <c r="A14" s="6" t="inlineStr">
        <is>
          <t>START</t>
        </is>
      </c>
      <c r="B14" s="6" t="inlineStr">
        <is>
          <t>プロセスが起動したら進む</t>
        </is>
      </c>
      <c r="C14" s="6" t="inlineStr">
        <is>
          <t>ADOTには使わない</t>
        </is>
      </c>
      <c r="D14" s="6" t="inlineStr">
        <is>
          <t>ポートが開いた保証はない</t>
        </is>
      </c>
      <c r="E14" s="6" t="inlineStr">
        <is>
          <t>公式のADOT手順例はこちら。トレースには弱い</t>
        </is>
      </c>
    </row>
    <row r="15" ht="36" customHeight="1">
      <c r="A15" s="7" t="inlineStr">
        <is>
          <t>HEALTHY</t>
        </is>
      </c>
      <c r="B15" s="7" t="inlineStr">
        <is>
          <t>検査が成功するまで待たせる</t>
        </is>
      </c>
      <c r="C15" s="7" t="inlineStr">
        <is>
          <t>アプリからADOTへ</t>
        </is>
      </c>
      <c r="D15" s="7" t="inlineStr">
        <is>
          <t>相手にhealthCheckが必須</t>
        </is>
      </c>
      <c r="E15" s="7" t="inlineStr">
        <is>
          <t>確認はタスク起動時だけ</t>
        </is>
      </c>
    </row>
    <row r="16" ht="36" customHeight="1">
      <c r="A16" s="6" t="inlineStr">
        <is>
          <t>COMPLETE</t>
        </is>
      </c>
      <c r="B16" s="6" t="inlineStr">
        <is>
          <t>終了まで待つ</t>
        </is>
      </c>
      <c r="C16" s="6" t="inlineStr">
        <is>
          <t>使わない</t>
        </is>
      </c>
      <c r="D16" s="6" t="inlineStr">
        <is>
          <t>essentialな相手には不可</t>
        </is>
      </c>
      <c r="E16" s="6" t="inlineStr">
        <is>
          <t>初期化コンテナ用</t>
        </is>
      </c>
    </row>
    <row r="17" ht="36" customHeight="1">
      <c r="A17" s="7" t="inlineStr">
        <is>
          <t>SUCCESS</t>
        </is>
      </c>
      <c r="B17" s="7" t="inlineStr">
        <is>
          <t>終了コード0まで待つ</t>
        </is>
      </c>
      <c r="C17" s="7" t="inlineStr">
        <is>
          <t>使わない</t>
        </is>
      </c>
      <c r="D17" s="7" t="inlineStr">
        <is>
          <t>essentialな相手には不可</t>
        </is>
      </c>
      <c r="E17" s="7" t="inlineStr">
        <is>
          <t>初期化コンテナ用</t>
        </is>
      </c>
    </row>
    <row r="19" ht="24" customHeight="1">
      <c r="A19" s="4" t="inlineStr">
        <is>
          <t>時間の上限</t>
        </is>
      </c>
      <c r="B19" s="4" t="n"/>
      <c r="C19" s="4" t="n"/>
      <c r="D19" s="4" t="n"/>
      <c r="E19" s="4" t="n"/>
    </row>
    <row r="20" ht="30" customHeight="1">
      <c r="A20" s="5" t="inlineStr">
        <is>
          <t>項目</t>
        </is>
      </c>
      <c r="B20" s="5" t="inlineStr">
        <is>
          <t>Fargateの範囲</t>
        </is>
      </c>
      <c r="C20" s="5" t="inlineStr">
        <is>
          <t>未指定</t>
        </is>
      </c>
      <c r="D20" s="5" t="inlineStr">
        <is>
          <t>今回</t>
        </is>
      </c>
      <c r="E20" s="5" t="inlineStr">
        <is>
          <t>理由</t>
        </is>
      </c>
    </row>
    <row r="21" ht="36" customHeight="1">
      <c r="A21" s="6" t="inlineStr">
        <is>
          <t>startTimeout</t>
        </is>
      </c>
      <c r="B21" s="6" t="inlineStr">
        <is>
          <t>2〜120秒</t>
        </is>
      </c>
      <c r="C21" s="6" t="inlineStr">
        <is>
          <t>打ち切り秒数はAPIに無い</t>
        </is>
      </c>
      <c r="D21" s="6" t="inlineStr">
        <is>
          <t>ADOTだけ60秒</t>
        </is>
      </c>
      <c r="E21" s="6" t="inlineStr">
        <is>
          <t>バックの160秒は120秒に入らない</t>
        </is>
      </c>
    </row>
    <row r="22" ht="36" customHeight="1">
      <c r="A22" s="7" t="inlineStr">
        <is>
          <t>stopTimeout</t>
        </is>
      </c>
      <c r="B22" s="7" t="inlineStr">
        <is>
          <t>2〜120秒</t>
        </is>
      </c>
      <c r="C22" s="7" t="inlineStr">
        <is>
          <t>30秒</t>
        </is>
      </c>
      <c r="D22" s="7" t="inlineStr">
        <is>
          <t>今回の起動計算では変えない</t>
        </is>
      </c>
      <c r="E22" s="7" t="inlineStr">
        <is>
          <t>停止の時計。起動に足さない</t>
        </is>
      </c>
    </row>
    <row r="23" ht="36" customHeight="1">
      <c r="A23" s="6" t="inlineStr">
        <is>
          <t>healthCheckGracePeriodSeconds</t>
        </is>
      </c>
      <c r="B23" s="6" t="inlineStr">
        <is>
          <t>0〜2147483647秒</t>
        </is>
      </c>
      <c r="C23" s="6" t="inlineStr">
        <is>
          <t>0秒</t>
        </is>
      </c>
      <c r="D23" s="6" t="inlineStr">
        <is>
          <t>並列は300、直列は420</t>
        </is>
      </c>
      <c r="E23" s="6" t="inlineStr">
        <is>
          <t>サービスの項目。ALBの属性ではない</t>
        </is>
      </c>
    </row>
    <row r="24" ht="36" customHeight="1">
      <c r="A24" s="7" t="inlineStr">
        <is>
          <t>ALB interval</t>
        </is>
      </c>
      <c r="B24" s="7" t="inlineStr">
        <is>
          <t>5〜300秒</t>
        </is>
      </c>
      <c r="C24" s="7" t="inlineStr">
        <is>
          <t>30秒</t>
        </is>
      </c>
      <c r="D24" s="7" t="inlineStr">
        <is>
          <t>10秒</t>
        </is>
      </c>
      <c r="E24" s="7" t="inlineStr">
        <is>
          <t>戻る時間は閾値×間隔</t>
        </is>
      </c>
    </row>
    <row r="25" ht="36" customHeight="1">
      <c r="A25" s="6" t="inlineStr">
        <is>
          <t>ALB timeout</t>
        </is>
      </c>
      <c r="B25" s="6" t="inlineStr">
        <is>
          <t>2〜120秒</t>
        </is>
      </c>
      <c r="C25" s="6" t="inlineStr">
        <is>
          <t>5秒</t>
        </is>
      </c>
      <c r="D25" s="6" t="inlineStr">
        <is>
          <t>5秒</t>
        </is>
      </c>
      <c r="E25" s="6" t="inlineStr">
        <is>
          <t>intervalより短くする</t>
        </is>
      </c>
    </row>
    <row r="26" ht="36" customHeight="1">
      <c r="A26" s="7" t="inlineStr">
        <is>
          <t>ALB healthy閾値</t>
        </is>
      </c>
      <c r="B26" s="7" t="inlineStr">
        <is>
          <t>2〜10</t>
        </is>
      </c>
      <c r="C26" s="7" t="inlineStr">
        <is>
          <t>5</t>
        </is>
      </c>
      <c r="D26" s="7" t="inlineStr">
        <is>
          <t>2</t>
        </is>
      </c>
      <c r="E26" s="7" t="inlineStr">
        <is>
          <t>新規登録の初回は成功1回。戻るときだけ閾値</t>
        </is>
      </c>
    </row>
    <row r="27" ht="36" customHeight="1">
      <c r="A27" s="6" t="inlineStr">
        <is>
          <t>ALB unhealthy閾値</t>
        </is>
      </c>
      <c r="B27" s="6" t="inlineStr">
        <is>
          <t>2〜10</t>
        </is>
      </c>
      <c r="C27" s="6" t="inlineStr">
        <is>
          <t>2</t>
        </is>
      </c>
      <c r="D27" s="6" t="inlineStr">
        <is>
          <t>3</t>
        </is>
      </c>
      <c r="E27" s="6" t="inlineStr">
        <is>
          <t>平常時の切り離し約30秒。10にすると平常時も約300秒</t>
        </is>
      </c>
    </row>
    <row r="28" ht="36" customHeight="1">
      <c r="A28" s="7" t="inlineStr">
        <is>
          <t>deregistration_delay</t>
        </is>
      </c>
      <c r="B28" s="7" t="inlineStr">
        <is>
          <t>0〜3600秒</t>
        </is>
      </c>
      <c r="C28" s="7" t="inlineStr">
        <is>
          <t>300秒</t>
        </is>
      </c>
      <c r="D28" s="7" t="inlineStr">
        <is>
          <t>変えない</t>
        </is>
      </c>
      <c r="E28" s="7" t="inlineStr">
        <is>
          <t>終了時のドレイン。起動の300秒とは別</t>
        </is>
      </c>
    </row>
    <row r="30" ht="40" customHeight="1">
      <c r="A30" s="3" t="inlineStr">
        <is>
          <t>プラットフォーム1.3.0は2026-06-15に新規起動ができなくなり、2026-06-30に残タスクが停止されている。dependsOnは2019-03-27以降のFargateで使え、いまは1.4.0以降を指定する。通常はLATEST。</t>
        </is>
      </c>
      <c r="B30" s="3" t="n"/>
      <c r="C30" s="3" t="n"/>
      <c r="D30" s="3" t="n"/>
      <c r="E30" s="3" t="n"/>
    </row>
  </sheetData>
  <mergeCells count="6">
    <mergeCell ref="A30:E30"/>
    <mergeCell ref="A12:E12"/>
    <mergeCell ref="A4:E4"/>
    <mergeCell ref="A2:E2"/>
    <mergeCell ref="A19:E19"/>
    <mergeCell ref="A1:E1"/>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指定できる値</oddHeader>
    <oddFooter>&amp;L&amp;"Meiryo UI"&amp;8 2026-10-12  検討資料  モノトーン  Meiryo UI&amp;R&amp;"Meiryo UI"&amp;8 ページ &amp;P / &amp;N</oddFooter>
    <evenHeader/>
    <evenFooter/>
    <firstHeader/>
    <firstFooter/>
  </headerFooter>
</worksheet>
</file>

<file path=xl/worksheets/sheet8.xml><?xml version="1.0" encoding="utf-8"?>
<worksheet xmlns="http://schemas.openxmlformats.org/spreadsheetml/2006/main">
  <sheetPr>
    <tabColor rgb="004A4A4A"/>
    <outlinePr summaryBelow="1" summaryRight="1"/>
    <pageSetUpPr fitToPage="1"/>
  </sheetPr>
  <dimension ref="A1:G27"/>
  <sheetViews>
    <sheetView showGridLines="0" zoomScale="110" workbookViewId="0">
      <pane xSplit="1" ySplit="4" topLeftCell="B5" activePane="bottomRight" state="frozen"/>
      <selection pane="topRight"/>
      <selection pane="bottomLeft"/>
      <selection pane="bottomRight" activeCell="A1" sqref="A1"/>
    </sheetView>
  </sheetViews>
  <sheetFormatPr baseColWidth="8" defaultColWidth="14" defaultRowHeight="18"/>
  <cols>
    <col width="28" customWidth="1" min="1" max="1"/>
    <col width="30" customWidth="1" min="2" max="2"/>
    <col width="24" customWidth="1" min="3" max="3"/>
    <col width="24" customWidth="1" min="4" max="4"/>
    <col width="24" customWidth="1" min="5" max="5"/>
    <col width="24" customWidth="1" min="6" max="6"/>
    <col width="36" customWidth="1" min="7" max="7"/>
  </cols>
  <sheetData>
    <row r="1" ht="36" customHeight="1">
      <c r="A1" s="8" t="inlineStr">
        <is>
          <t>パターン比較</t>
        </is>
      </c>
      <c r="B1" s="8" t="n"/>
      <c r="C1" s="8" t="n"/>
      <c r="D1" s="8" t="n"/>
      <c r="E1" s="8" t="n"/>
      <c r="F1" s="8" t="n"/>
      <c r="G1" s="8" t="n"/>
    </row>
    <row r="2" ht="32" customHeight="1">
      <c r="A2" s="3" t="inlineStr">
        <is>
          <t>秒数は計算シートを参照する。推奨はパターンA。パターンBは依頼文の直列。パターンCは現状の210秒の読み方の一つ。</t>
        </is>
      </c>
      <c r="B2" s="3" t="n"/>
      <c r="C2" s="3" t="n"/>
      <c r="D2" s="3" t="n"/>
      <c r="E2" s="3" t="n"/>
      <c r="F2" s="3" t="n"/>
      <c r="G2" s="3" t="n"/>
    </row>
    <row r="4" ht="30" customHeight="1">
      <c r="A4" s="5" t="inlineStr">
        <is>
          <t>項目</t>
        </is>
      </c>
      <c r="B4" s="5" t="inlineStr">
        <is>
          <t>0 現状</t>
        </is>
      </c>
      <c r="C4" s="5" t="inlineStr">
        <is>
          <t>A 推奨</t>
        </is>
      </c>
      <c r="D4" s="5" t="inlineStr">
        <is>
          <t>B 直列</t>
        </is>
      </c>
      <c r="E4" s="5" t="inlineStr">
        <is>
          <t>C バックだけADOT待ち</t>
        </is>
      </c>
      <c r="F4" s="5" t="inlineStr">
        <is>
          <t>D 依存なし</t>
        </is>
      </c>
      <c r="G4" s="5" t="inlineStr">
        <is>
          <t>見方</t>
        </is>
      </c>
    </row>
    <row r="5" ht="36" customHeight="1">
      <c r="A5" s="6" t="inlineStr">
        <is>
          <t>フロントの依存</t>
        </is>
      </c>
      <c r="B5" s="6" t="inlineStr">
        <is>
          <t>なし</t>
        </is>
      </c>
      <c r="C5" s="6" t="inlineStr">
        <is>
          <t>ADOTがHEALTHY</t>
        </is>
      </c>
      <c r="D5" s="6" t="inlineStr">
        <is>
          <t>バックがHEALTHY</t>
        </is>
      </c>
      <c r="E5" s="6" t="inlineStr">
        <is>
          <t>なし</t>
        </is>
      </c>
      <c r="F5" s="6" t="inlineStr">
        <is>
          <t>なし</t>
        </is>
      </c>
      <c r="G5" s="6" t="inlineStr">
        <is>
          <t>AはJBoss同士を待たない</t>
        </is>
      </c>
    </row>
    <row r="6" ht="36" customHeight="1">
      <c r="A6" s="7" t="inlineStr">
        <is>
          <t>バックの依存</t>
        </is>
      </c>
      <c r="B6" s="7" t="inlineStr">
        <is>
          <t>なし</t>
        </is>
      </c>
      <c r="C6" s="7" t="inlineStr">
        <is>
          <t>ADOTがHEALTHY</t>
        </is>
      </c>
      <c r="D6" s="7" t="inlineStr">
        <is>
          <t>ADOTがHEALTHY</t>
        </is>
      </c>
      <c r="E6" s="7" t="inlineStr">
        <is>
          <t>ADOTがHEALTHY</t>
        </is>
      </c>
      <c r="F6" s="7" t="inlineStr">
        <is>
          <t>なし</t>
        </is>
      </c>
      <c r="G6" s="7" t="inlineStr">
        <is>
          <t>トレースの条件はA、B、C</t>
        </is>
      </c>
    </row>
    <row r="7" ht="36" customHeight="1">
      <c r="A7" s="6" t="inlineStr">
        <is>
          <t>フロントstartPeriod</t>
        </is>
      </c>
      <c r="B7" s="11">
        <f>計算!C33</f>
        <v/>
      </c>
      <c r="C7" s="11">
        <f>計算!C51</f>
        <v/>
      </c>
      <c r="D7" s="11">
        <f>計算!C39</f>
        <v/>
      </c>
      <c r="E7" s="11">
        <f>計算!C33</f>
        <v/>
      </c>
      <c r="F7" s="11">
        <f>計算!C51</f>
        <v/>
      </c>
      <c r="G7" s="6" t="inlineStr">
        <is>
          <t>Bは時計が後ろなので自分の見積でよい</t>
        </is>
      </c>
    </row>
    <row r="8" ht="36" customHeight="1">
      <c r="A8" s="7" t="inlineStr">
        <is>
          <t>バックstartPeriod</t>
        </is>
      </c>
      <c r="B8" s="12">
        <f>計算!C34</f>
        <v/>
      </c>
      <c r="C8" s="12">
        <f>計算!C52</f>
        <v/>
      </c>
      <c r="D8" s="12">
        <f>計算!C52</f>
        <v/>
      </c>
      <c r="E8" s="12">
        <f>計算!C52</f>
        <v/>
      </c>
      <c r="F8" s="12">
        <f>計算!C52</f>
        <v/>
      </c>
      <c r="G8" s="7" t="inlineStr">
        <is>
          <t>現状210は見積160より長い</t>
        </is>
      </c>
    </row>
    <row r="9" ht="36" customHeight="1">
      <c r="A9" s="6" t="inlineStr">
        <is>
          <t>ADOT startPeriod</t>
        </is>
      </c>
      <c r="B9" s="6" t="inlineStr">
        <is>
          <t>未提示</t>
        </is>
      </c>
      <c r="C9" s="11">
        <f>計算!C30</f>
        <v/>
      </c>
      <c r="D9" s="11">
        <f>計算!C30</f>
        <v/>
      </c>
      <c r="E9" s="11">
        <f>計算!C30</f>
        <v/>
      </c>
      <c r="F9" s="11">
        <f>計算!C30</f>
        <v/>
      </c>
      <c r="G9" s="6" t="inlineStr">
        <is>
          <t>計画値</t>
        </is>
      </c>
    </row>
    <row r="10" ht="36" customHeight="1">
      <c r="A10" s="7" t="inlineStr">
        <is>
          <t>CW startPeriod</t>
        </is>
      </c>
      <c r="B10" s="7" t="inlineStr">
        <is>
          <t>未提示</t>
        </is>
      </c>
      <c r="C10" s="12">
        <f>計算!C31</f>
        <v/>
      </c>
      <c r="D10" s="12">
        <f>計算!C31</f>
        <v/>
      </c>
      <c r="E10" s="12">
        <f>計算!C31</f>
        <v/>
      </c>
      <c r="F10" s="12">
        <f>計算!C31</f>
        <v/>
      </c>
      <c r="G10" s="7" t="inlineStr">
        <is>
          <t>誰も待たない</t>
        </is>
      </c>
    </row>
    <row r="11" ht="36" customHeight="1">
      <c r="A11" s="6" t="inlineStr">
        <is>
          <t>startTimeout</t>
        </is>
      </c>
      <c r="B11" s="6" t="inlineStr">
        <is>
          <t>未提示</t>
        </is>
      </c>
      <c r="C11" s="6" t="inlineStr">
        <is>
          <t>ADOTに60秒</t>
        </is>
      </c>
      <c r="D11" s="6" t="inlineStr">
        <is>
          <t>ADOTに60秒。バックには付けられない</t>
        </is>
      </c>
      <c r="E11" s="6" t="inlineStr">
        <is>
          <t>ADOTに60秒</t>
        </is>
      </c>
      <c r="F11" s="6" t="inlineStr">
        <is>
          <t>なし</t>
        </is>
      </c>
      <c r="G11" s="6" t="inlineStr">
        <is>
          <t>Fargate上限120秒</t>
        </is>
      </c>
    </row>
    <row r="12" ht="36" customHeight="1">
      <c r="A12" s="7" t="inlineStr">
        <is>
          <t>猶予</t>
        </is>
      </c>
      <c r="B12" s="12">
        <f>計算!C20</f>
        <v/>
      </c>
      <c r="C12" s="12">
        <f>計算!C20</f>
        <v/>
      </c>
      <c r="D12" s="12">
        <f>計算!C21</f>
        <v/>
      </c>
      <c r="E12" s="12">
        <f>計算!C20</f>
        <v/>
      </c>
      <c r="F12" s="12">
        <f>計算!C20</f>
        <v/>
      </c>
      <c r="G12" s="7" t="inlineStr">
        <is>
          <t>Bだけ420秒</t>
        </is>
      </c>
    </row>
    <row r="13" ht="36" customHeight="1">
      <c r="A13" s="6" t="inlineStr">
        <is>
          <t>両方healthyの見通し</t>
        </is>
      </c>
      <c r="B13" s="6" t="inlineStr">
        <is>
          <t>ADOT待ちが無いのでより短い</t>
        </is>
      </c>
      <c r="C13" s="11">
        <f>計算!C55</f>
        <v/>
      </c>
      <c r="D13" s="11">
        <f>計算!C63</f>
        <v/>
      </c>
      <c r="E13" s="11">
        <f>計算!C55</f>
        <v/>
      </c>
      <c r="F13" s="6" t="inlineStr">
        <is>
          <t>ADOTをパスに含まない</t>
        </is>
      </c>
      <c r="G13" s="6" t="inlineStr">
        <is>
          <t>AとCは同じ見通し</t>
        </is>
      </c>
    </row>
    <row r="14" ht="36" customHeight="1">
      <c r="A14" s="7" t="inlineStr">
        <is>
          <t>300秒時点</t>
        </is>
      </c>
      <c r="B14" s="7" t="inlineStr">
        <is>
          <t>提示値の範囲では収まる</t>
        </is>
      </c>
      <c r="C14" s="7" t="inlineStr">
        <is>
          <t>既にhealthyの見通し</t>
        </is>
      </c>
      <c r="D14" s="7" t="inlineStr">
        <is>
          <t>フロント年齢が見積未満</t>
        </is>
      </c>
      <c r="E14" s="7" t="inlineStr">
        <is>
          <t>Aと同じく収まる</t>
        </is>
      </c>
      <c r="F14" s="7" t="inlineStr">
        <is>
          <t>収まる。トレースは落ち得る</t>
        </is>
      </c>
      <c r="G14" s="7" t="inlineStr">
        <is>
          <t>Bだけが依頼文の衝突</t>
        </is>
      </c>
    </row>
    <row r="15" ht="36" customHeight="1">
      <c r="A15" s="6" t="inlineStr">
        <is>
          <t>停止順</t>
        </is>
      </c>
      <c r="B15" s="6" t="inlineStr">
        <is>
          <t>決まらない</t>
        </is>
      </c>
      <c r="C15" s="6" t="inlineStr">
        <is>
          <t>アプリのあとADOT</t>
        </is>
      </c>
      <c r="D15" s="6" t="inlineStr">
        <is>
          <t>フロント、バック、ADOT</t>
        </is>
      </c>
      <c r="E15" s="6" t="inlineStr">
        <is>
          <t>バックのあとADOT。フロントは不定</t>
        </is>
      </c>
      <c r="F15" s="6" t="inlineStr">
        <is>
          <t>決まらない</t>
        </is>
      </c>
      <c r="G15" s="6" t="inlineStr">
        <is>
          <t>起動の逆順</t>
        </is>
      </c>
    </row>
    <row r="16" ht="36" customHeight="1">
      <c r="A16" s="13" t="inlineStr">
        <is>
          <t>採用</t>
        </is>
      </c>
      <c r="B16" s="13" t="inlineStr">
        <is>
          <t>トレースの条件を満たさない</t>
        </is>
      </c>
      <c r="C16" s="13" t="inlineStr">
        <is>
          <t>採用する</t>
        </is>
      </c>
      <c r="D16" s="13" t="inlineStr">
        <is>
          <t>300秒では不成立</t>
        </is>
      </c>
      <c r="E16" s="13" t="inlineStr">
        <is>
          <t>秒数は成立。式が合成になる</t>
        </is>
      </c>
      <c r="F16" s="13" t="inlineStr">
        <is>
          <t>トレースの条件を満たさない</t>
        </is>
      </c>
      <c r="G16" s="13" t="inlineStr">
        <is>
          <t>Aを推奨</t>
        </is>
      </c>
    </row>
    <row r="18" ht="36" customHeight="1">
      <c r="A18" s="3" t="inlineStr">
        <is>
          <t>パターンCの現状210秒は、ADOT計画値＋バック見積＋余り、と算術が一致する。一致は、その意図で210が選ばれた証拠ではない。余りは計算!C75。</t>
        </is>
      </c>
      <c r="B18" s="3" t="n"/>
      <c r="C18" s="3" t="n"/>
      <c r="D18" s="3" t="n"/>
      <c r="E18" s="3" t="n"/>
      <c r="F18" s="3" t="n"/>
      <c r="G18" s="3" t="n"/>
    </row>
    <row r="20" ht="24" customHeight="1">
      <c r="A20" s="4" t="inlineStr">
        <is>
          <t>パターンCの210秒の分解</t>
        </is>
      </c>
      <c r="B20" s="4" t="n"/>
      <c r="C20" s="4" t="n"/>
      <c r="D20" s="4" t="n"/>
      <c r="E20" s="4" t="n"/>
      <c r="F20" s="4" t="n"/>
      <c r="G20" s="4" t="n"/>
    </row>
    <row r="21" ht="30" customHeight="1">
      <c r="A21" s="5" t="inlineStr">
        <is>
          <t>区分</t>
        </is>
      </c>
      <c r="B21" s="5" t="inlineStr">
        <is>
          <t>秒</t>
        </is>
      </c>
      <c r="C21" s="5" t="inlineStr">
        <is>
          <t>参照</t>
        </is>
      </c>
      <c r="D21" s="5" t="inlineStr"/>
      <c r="E21" s="5" t="inlineStr"/>
      <c r="F21" s="5" t="inlineStr"/>
      <c r="G21" s="5" t="inlineStr"/>
    </row>
    <row r="22" ht="28" customHeight="1">
      <c r="A22" s="6" t="inlineStr">
        <is>
          <t>フロント実測最大</t>
        </is>
      </c>
      <c r="B22" s="11">
        <f>計算!C9</f>
        <v/>
      </c>
      <c r="C22" s="6" t="inlineStr">
        <is>
          <t>計算!C9</t>
        </is>
      </c>
      <c r="D22" s="6" t="inlineStr"/>
      <c r="E22" s="6" t="inlineStr"/>
      <c r="F22" s="6" t="inlineStr"/>
      <c r="G22" s="6" t="inlineStr"/>
    </row>
    <row r="23" ht="28" customHeight="1">
      <c r="A23" s="7" t="inlineStr">
        <is>
          <t>フロントのバッファ</t>
        </is>
      </c>
      <c r="B23" s="12">
        <f>計算!C41</f>
        <v/>
      </c>
      <c r="C23" s="7" t="inlineStr">
        <is>
          <t>計算!C41</t>
        </is>
      </c>
      <c r="D23" s="7" t="inlineStr"/>
      <c r="E23" s="7" t="inlineStr"/>
      <c r="F23" s="7" t="inlineStr"/>
      <c r="G23" s="7" t="inlineStr"/>
    </row>
    <row r="24" ht="28" customHeight="1">
      <c r="A24" s="6" t="inlineStr">
        <is>
          <t>遅いほうへの追加</t>
        </is>
      </c>
      <c r="B24" s="11">
        <f>計算!C50</f>
        <v/>
      </c>
      <c r="C24" s="6" t="inlineStr">
        <is>
          <t>計算!C50</t>
        </is>
      </c>
      <c r="D24" s="6" t="inlineStr"/>
      <c r="E24" s="6" t="inlineStr"/>
      <c r="F24" s="6" t="inlineStr"/>
      <c r="G24" s="6" t="inlineStr"/>
    </row>
    <row r="25" ht="28" customHeight="1">
      <c r="A25" s="7" t="inlineStr">
        <is>
          <t>ADOT計画値</t>
        </is>
      </c>
      <c r="B25" s="12">
        <f>計算!C11</f>
        <v/>
      </c>
      <c r="C25" s="7" t="inlineStr">
        <is>
          <t>フロントの時計に含まれる</t>
        </is>
      </c>
      <c r="D25" s="7" t="inlineStr"/>
      <c r="E25" s="7" t="inlineStr"/>
      <c r="F25" s="7" t="inlineStr"/>
      <c r="G25" s="7" t="inlineStr"/>
    </row>
    <row r="26" ht="28" customHeight="1">
      <c r="A26" s="6" t="inlineStr">
        <is>
          <t>合計の最短</t>
        </is>
      </c>
      <c r="B26" s="11">
        <f>計算!C74</f>
        <v/>
      </c>
      <c r="C26" s="6" t="inlineStr">
        <is>
          <t>計算!C74</t>
        </is>
      </c>
      <c r="D26" s="6" t="inlineStr"/>
      <c r="E26" s="6" t="inlineStr"/>
      <c r="F26" s="6" t="inlineStr"/>
      <c r="G26" s="6" t="inlineStr"/>
    </row>
    <row r="27" ht="28" customHeight="1">
      <c r="A27" s="7" t="inlineStr">
        <is>
          <t>現状210との余り</t>
        </is>
      </c>
      <c r="B27" s="12">
        <f>計算!C75</f>
        <v/>
      </c>
      <c r="C27" s="7" t="inlineStr">
        <is>
          <t>設計意図としては未確認</t>
        </is>
      </c>
      <c r="D27" s="7" t="inlineStr"/>
      <c r="E27" s="7" t="inlineStr"/>
      <c r="F27" s="7" t="inlineStr"/>
      <c r="G27" s="7" t="inlineStr"/>
    </row>
  </sheetData>
  <mergeCells count="4">
    <mergeCell ref="A20:G20"/>
    <mergeCell ref="A2:G2"/>
    <mergeCell ref="A1:G1"/>
    <mergeCell ref="A18:G18"/>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パターン比較</oddHeader>
    <oddFooter>&amp;L&amp;"Meiryo UI"&amp;8 2026-10-12  検討資料  モノトーン  Meiryo UI&amp;R&amp;"Meiryo UI"&amp;8 ページ &amp;P / &amp;N</oddFooter>
    <evenHeader/>
    <evenFooter/>
    <firstHeader/>
    <firstFooter/>
  </headerFooter>
</worksheet>
</file>

<file path=xl/worksheets/sheet9.xml><?xml version="1.0" encoding="utf-8"?>
<worksheet xmlns="http://schemas.openxmlformats.org/spreadsheetml/2006/main">
  <sheetPr>
    <tabColor rgb="004A4A4A"/>
    <outlinePr summaryBelow="1" summaryRight="1"/>
    <pageSetUpPr fitToPage="1"/>
  </sheetPr>
  <dimension ref="A1:I28"/>
  <sheetViews>
    <sheetView showGridLines="0" zoomScale="110" workbookViewId="0">
      <pane ySplit="4" topLeftCell="A5" activePane="bottomLeft" state="frozen"/>
      <selection pane="bottomLeft" activeCell="A1" sqref="A1"/>
    </sheetView>
  </sheetViews>
  <sheetFormatPr baseColWidth="8" defaultColWidth="14" defaultRowHeight="18"/>
  <cols>
    <col width="26" customWidth="1" min="1" max="1"/>
    <col width="28" customWidth="1" min="2" max="2"/>
    <col width="22" customWidth="1" min="3" max="3"/>
    <col width="22" customWidth="1" min="4" max="4"/>
    <col width="18" customWidth="1" min="5" max="5"/>
    <col width="18" customWidth="1" min="6" max="6"/>
    <col width="18" customWidth="1" min="7" max="7"/>
    <col width="18" customWidth="1" min="8" max="8"/>
    <col width="40" customWidth="1" min="9" max="9"/>
  </cols>
  <sheetData>
    <row r="1" ht="36" customHeight="1">
      <c r="A1" s="8" t="inlineStr">
        <is>
          <t>推奨設定    パターンAをタスク定義の形にする</t>
        </is>
      </c>
      <c r="B1" s="8" t="n"/>
      <c r="C1" s="8" t="n"/>
      <c r="D1" s="8" t="n"/>
      <c r="E1" s="8" t="n"/>
      <c r="F1" s="8" t="n"/>
      <c r="G1" s="8" t="n"/>
      <c r="H1" s="8" t="n"/>
      <c r="I1" s="8" t="n"/>
    </row>
    <row r="2" ht="36" customHeight="1">
      <c r="A2" s="3" t="inlineStr">
        <is>
          <t>essentialは依頼どおりすべてtrue。1つがUNHEALTHYならタスク全体がUNHEALTHYになる。検査コマンドがイメージに無いと、デプロイがHEALTHYに到達しない。</t>
        </is>
      </c>
      <c r="B2" s="3" t="n"/>
      <c r="C2" s="3" t="n"/>
      <c r="D2" s="3" t="n"/>
      <c r="E2" s="3" t="n"/>
      <c r="F2" s="3" t="n"/>
      <c r="G2" s="3" t="n"/>
      <c r="H2" s="3" t="n"/>
      <c r="I2" s="3" t="n"/>
    </row>
    <row r="4" ht="30" customHeight="1">
      <c r="A4" s="5" t="inlineStr">
        <is>
          <t>コンテナ</t>
        </is>
      </c>
      <c r="B4" s="5" t="inlineStr">
        <is>
          <t>essential</t>
        </is>
      </c>
      <c r="C4" s="5" t="inlineStr">
        <is>
          <t>dependsOn</t>
        </is>
      </c>
      <c r="D4" s="5" t="inlineStr">
        <is>
          <t>startTimeout</t>
        </is>
      </c>
      <c r="E4" s="5" t="inlineStr">
        <is>
          <t>interval</t>
        </is>
      </c>
      <c r="F4" s="5" t="inlineStr">
        <is>
          <t>timeout</t>
        </is>
      </c>
      <c r="G4" s="5" t="inlineStr">
        <is>
          <t>retries</t>
        </is>
      </c>
      <c r="H4" s="5" t="inlineStr">
        <is>
          <t>startPeriod</t>
        </is>
      </c>
      <c r="I4" s="5" t="inlineStr">
        <is>
          <t>command</t>
        </is>
      </c>
    </row>
    <row r="5" ht="48" customHeight="1">
      <c r="A5" s="6" t="inlineStr">
        <is>
          <t>adot-collector</t>
        </is>
      </c>
      <c r="B5" s="6" t="inlineStr">
        <is>
          <t>true</t>
        </is>
      </c>
      <c r="C5" s="6" t="inlineStr">
        <is>
          <t>なし</t>
        </is>
      </c>
      <c r="D5" s="6" t="n">
        <v>60</v>
      </c>
      <c r="E5" s="11" t="n">
        <v>5</v>
      </c>
      <c r="F5" s="11" t="n">
        <v>3</v>
      </c>
      <c r="G5" s="11" t="n">
        <v>3</v>
      </c>
      <c r="H5" s="11" t="n">
        <v>30</v>
      </c>
      <c r="I5" s="6" t="inlineStr">
        <is>
          <t>CMD  /healthcheck</t>
        </is>
      </c>
    </row>
    <row r="6" ht="48" customHeight="1">
      <c r="A6" s="7" t="inlineStr">
        <is>
          <t>cloudwatch-agent</t>
        </is>
      </c>
      <c r="B6" s="7" t="inlineStr">
        <is>
          <t>true</t>
        </is>
      </c>
      <c r="C6" s="7" t="inlineStr">
        <is>
          <t>なし</t>
        </is>
      </c>
      <c r="D6" s="7" t="inlineStr">
        <is>
          <t>未設定</t>
        </is>
      </c>
      <c r="E6" s="12" t="n">
        <v>10</v>
      </c>
      <c r="F6" s="12" t="n">
        <v>5</v>
      </c>
      <c r="G6" s="12" t="n">
        <v>3</v>
      </c>
      <c r="H6" s="12" t="n">
        <v>30</v>
      </c>
      <c r="I6" s="7" t="inlineStr">
        <is>
          <t>CMD-SHELL  pidof amazon-cloudwatch-agent || exit 1</t>
        </is>
      </c>
    </row>
    <row r="7" ht="48" customHeight="1">
      <c r="A7" s="13" t="inlineStr">
        <is>
          <t>backend</t>
        </is>
      </c>
      <c r="B7" s="13" t="inlineStr">
        <is>
          <t>true</t>
        </is>
      </c>
      <c r="C7" s="13" t="inlineStr">
        <is>
          <t>adot-collector = HEALTHY</t>
        </is>
      </c>
      <c r="D7" s="13" t="inlineStr">
        <is>
          <t>未設定</t>
        </is>
      </c>
      <c r="E7" s="14" t="n">
        <v>15</v>
      </c>
      <c r="F7" s="14" t="n">
        <v>5</v>
      </c>
      <c r="G7" s="14" t="n">
        <v>3</v>
      </c>
      <c r="H7" s="14">
        <f>計算!C52</f>
        <v/>
      </c>
      <c r="I7" s="13" t="inlineStr">
        <is>
          <t>自分の https://127.0.0.1:18080/iwinmichl/healthcheck</t>
        </is>
      </c>
    </row>
    <row r="8" ht="48" customHeight="1">
      <c r="A8" s="13" t="inlineStr">
        <is>
          <t>frontend</t>
        </is>
      </c>
      <c r="B8" s="13" t="inlineStr">
        <is>
          <t>true</t>
        </is>
      </c>
      <c r="C8" s="13" t="inlineStr">
        <is>
          <t>adot-collector = HEALTHY</t>
        </is>
      </c>
      <c r="D8" s="13" t="inlineStr">
        <is>
          <t>未設定</t>
        </is>
      </c>
      <c r="E8" s="14" t="n">
        <v>15</v>
      </c>
      <c r="F8" s="14" t="n">
        <v>10</v>
      </c>
      <c r="G8" s="14" t="n">
        <v>3</v>
      </c>
      <c r="H8" s="14">
        <f>計算!C51</f>
        <v/>
      </c>
      <c r="I8" s="13" t="inlineStr">
        <is>
          <t>自分の待受と、バックエンドの同じURLの両方</t>
        </is>
      </c>
    </row>
    <row r="10" ht="24" customHeight="1">
      <c r="A10" s="4" t="inlineStr">
        <is>
          <t>コマンドの文</t>
        </is>
      </c>
      <c r="B10" s="4" t="n"/>
      <c r="C10" s="4" t="n"/>
      <c r="D10" s="4" t="n"/>
      <c r="E10" s="4" t="n"/>
      <c r="F10" s="4" t="n"/>
      <c r="G10" s="4" t="n"/>
      <c r="H10" s="4" t="n"/>
      <c r="I10" s="4" t="n"/>
    </row>
    <row r="11" ht="30" customHeight="1">
      <c r="A11" s="5" t="inlineStr">
        <is>
          <t>コンテナ</t>
        </is>
      </c>
      <c r="B11" s="5" t="inlineStr">
        <is>
          <t>文</t>
        </is>
      </c>
      <c r="C11" s="5" t="inlineStr"/>
      <c r="D11" s="5" t="inlineStr"/>
      <c r="E11" s="5" t="inlineStr"/>
      <c r="F11" s="5" t="inlineStr"/>
      <c r="G11" s="5" t="inlineStr"/>
      <c r="H11" s="5" t="inlineStr"/>
      <c r="I11" s="5" t="inlineStr"/>
    </row>
    <row r="12" ht="48" customHeight="1">
      <c r="A12" s="6" t="inlineStr">
        <is>
          <t>backend</t>
        </is>
      </c>
      <c r="B12" s="6" t="inlineStr">
        <is>
          <t>CMD-SHELL, curl -fsS --max-time 4 -k https://127.0.0.1:18080/iwinmichl/healthcheck || exit 1</t>
        </is>
      </c>
      <c r="C12" s="15" t="n"/>
      <c r="D12" s="15" t="n"/>
      <c r="E12" s="15" t="n"/>
      <c r="F12" s="15" t="n"/>
      <c r="G12" s="15" t="n"/>
      <c r="H12" s="15" t="n"/>
      <c r="I12" s="16" t="n"/>
    </row>
    <row r="13" ht="48" customHeight="1">
      <c r="A13" s="7" t="inlineStr">
        <is>
          <t>frontend</t>
        </is>
      </c>
      <c r="B13" s="7" t="inlineStr">
        <is>
          <t>CMD-SHELL, curl -fsS --max-time 4 -k https://127.0.0.1:&lt;フロント待受&gt;/&lt;フロントの準備完了パス&gt; &amp;&amp; curl -fsS --max-time 4 -k https://127.0.0.1:18080/iwinmichl/healthcheck || exit 1</t>
        </is>
      </c>
      <c r="C13" s="15" t="n"/>
      <c r="D13" s="15" t="n"/>
      <c r="E13" s="15" t="n"/>
      <c r="F13" s="15" t="n"/>
      <c r="G13" s="15" t="n"/>
      <c r="H13" s="15" t="n"/>
      <c r="I13" s="16" t="n"/>
    </row>
    <row r="14" ht="48" customHeight="1">
      <c r="A14" s="6" t="inlineStr">
        <is>
          <t>adot</t>
        </is>
      </c>
      <c r="B14" s="6" t="inlineStr">
        <is>
          <t>CMD, /healthcheck    コレクタ設定の health_check 拡張を 127.0.0.1:13133 で有効にする</t>
        </is>
      </c>
      <c r="C14" s="15" t="n"/>
      <c r="D14" s="15" t="n"/>
      <c r="E14" s="15" t="n"/>
      <c r="F14" s="15" t="n"/>
      <c r="G14" s="15" t="n"/>
      <c r="H14" s="15" t="n"/>
      <c r="I14" s="16" t="n"/>
    </row>
    <row r="15" ht="48" customHeight="1">
      <c r="A15" s="7" t="inlineStr">
        <is>
          <t>cloudwatch</t>
        </is>
      </c>
      <c r="B15" s="7" t="inlineStr">
        <is>
          <t>pidof がイメージに無ければ、そのイメージに実在するプロセス確認へ替える。検査を外すとタスク健康の判定から外れる</t>
        </is>
      </c>
      <c r="C15" s="15" t="n"/>
      <c r="D15" s="15" t="n"/>
      <c r="E15" s="15" t="n"/>
      <c r="F15" s="15" t="n"/>
      <c r="G15" s="15" t="n"/>
      <c r="H15" s="15" t="n"/>
      <c r="I15" s="16" t="n"/>
    </row>
    <row r="17" ht="24" customHeight="1">
      <c r="A17" s="4" t="inlineStr">
        <is>
          <t>ALBとサービス</t>
        </is>
      </c>
      <c r="B17" s="4" t="n"/>
      <c r="C17" s="4" t="n"/>
      <c r="D17" s="4" t="n"/>
      <c r="E17" s="4" t="n"/>
      <c r="F17" s="4" t="n"/>
      <c r="G17" s="4" t="n"/>
      <c r="H17" s="4" t="n"/>
      <c r="I17" s="4" t="n"/>
    </row>
    <row r="18" ht="30" customHeight="1">
      <c r="A18" s="5" t="inlineStr">
        <is>
          <t>項目</t>
        </is>
      </c>
      <c r="B18" s="5" t="inlineStr">
        <is>
          <t>値</t>
        </is>
      </c>
      <c r="C18" s="5" t="inlineStr">
        <is>
          <t>範囲</t>
        </is>
      </c>
      <c r="D18" s="5" t="inlineStr">
        <is>
          <t>理由</t>
        </is>
      </c>
      <c r="E18" s="5" t="inlineStr"/>
      <c r="F18" s="5" t="inlineStr"/>
      <c r="G18" s="5" t="inlineStr"/>
      <c r="H18" s="5" t="inlineStr"/>
      <c r="I18" s="5" t="inlineStr"/>
    </row>
    <row r="19" ht="36" customHeight="1">
      <c r="A19" s="6" t="inlineStr">
        <is>
          <t>HealthCheckIntervalSeconds</t>
        </is>
      </c>
      <c r="B19" s="11" t="n">
        <v>10</v>
      </c>
      <c r="C19" s="6" t="inlineStr">
        <is>
          <t>5〜300</t>
        </is>
      </c>
      <c r="D19" s="6" t="inlineStr">
        <is>
          <t>戻る時間を短くする。平常時の検知も早くする</t>
        </is>
      </c>
      <c r="E19" s="15" t="n"/>
      <c r="F19" s="15" t="n"/>
      <c r="G19" s="15" t="n"/>
      <c r="H19" s="15" t="n"/>
      <c r="I19" s="16" t="n"/>
    </row>
    <row r="20" ht="36" customHeight="1">
      <c r="A20" s="7" t="inlineStr">
        <is>
          <t>HealthCheckTimeoutSeconds</t>
        </is>
      </c>
      <c r="B20" s="12" t="n">
        <v>5</v>
      </c>
      <c r="C20" s="7" t="inlineStr">
        <is>
          <t>2〜120、interval未満</t>
        </is>
      </c>
      <c r="D20" s="7" t="inlineStr">
        <is>
          <t>初期値のまま</t>
        </is>
      </c>
      <c r="E20" s="15" t="n"/>
      <c r="F20" s="15" t="n"/>
      <c r="G20" s="15" t="n"/>
      <c r="H20" s="15" t="n"/>
      <c r="I20" s="16" t="n"/>
    </row>
    <row r="21" ht="36" customHeight="1">
      <c r="A21" s="6" t="inlineStr">
        <is>
          <t>HealthyThresholdCount</t>
        </is>
      </c>
      <c r="B21" s="11" t="n">
        <v>2</v>
      </c>
      <c r="C21" s="6" t="inlineStr">
        <is>
          <t>2〜10</t>
        </is>
      </c>
      <c r="D21" s="6" t="inlineStr">
        <is>
          <t>unhealthyから戻る連続成功。新規の初回は1回だが、起動中にunhealthyになるので戻る側が効く</t>
        </is>
      </c>
      <c r="E21" s="15" t="n"/>
      <c r="F21" s="15" t="n"/>
      <c r="G21" s="15" t="n"/>
      <c r="H21" s="15" t="n"/>
      <c r="I21" s="16" t="n"/>
    </row>
    <row r="22" ht="36" customHeight="1">
      <c r="A22" s="7" t="inlineStr">
        <is>
          <t>UnhealthyThresholdCount</t>
        </is>
      </c>
      <c r="B22" s="12" t="n">
        <v>3</v>
      </c>
      <c r="C22" s="7" t="inlineStr">
        <is>
          <t>2〜10</t>
        </is>
      </c>
      <c r="D22" s="7" t="inlineStr">
        <is>
          <t>約30秒で切り離す。10にすると平常時の切り離しも長くなる</t>
        </is>
      </c>
      <c r="E22" s="15" t="n"/>
      <c r="F22" s="15" t="n"/>
      <c r="G22" s="15" t="n"/>
      <c r="H22" s="15" t="n"/>
      <c r="I22" s="16" t="n"/>
    </row>
    <row r="23" ht="36" customHeight="1">
      <c r="A23" s="6" t="inlineStr">
        <is>
          <t>Matcher</t>
        </is>
      </c>
      <c r="B23" s="6" t="inlineStr">
        <is>
          <t>200</t>
        </is>
      </c>
      <c r="C23" s="6" t="inlineStr">
        <is>
          <t>200〜499</t>
        </is>
      </c>
      <c r="D23" s="6" t="inlineStr">
        <is>
          <t>準備完了だけを成功にする</t>
        </is>
      </c>
      <c r="E23" s="15" t="n"/>
      <c r="F23" s="15" t="n"/>
      <c r="G23" s="15" t="n"/>
      <c r="H23" s="15" t="n"/>
      <c r="I23" s="16" t="n"/>
    </row>
    <row r="24" ht="36" customHeight="1">
      <c r="A24" s="7" t="inlineStr">
        <is>
          <t>healthCheckGracePeriodSeconds</t>
        </is>
      </c>
      <c r="B24" s="12">
        <f>計算!C20</f>
        <v/>
      </c>
      <c r="C24" s="7" t="inlineStr">
        <is>
          <t>0〜2147483647</t>
        </is>
      </c>
      <c r="D24" s="7" t="inlineStr">
        <is>
          <t>見通しは計算シートの両方healthy。余りもそこにある</t>
        </is>
      </c>
      <c r="E24" s="15" t="n"/>
      <c r="F24" s="15" t="n"/>
      <c r="G24" s="15" t="n"/>
      <c r="H24" s="15" t="n"/>
      <c r="I24" s="16" t="n"/>
    </row>
    <row r="25" ht="36" customHeight="1">
      <c r="A25" s="6" t="inlineStr">
        <is>
          <t>deregistration_delay</t>
        </is>
      </c>
      <c r="B25" s="6" t="inlineStr">
        <is>
          <t>変えない（初期値300）</t>
        </is>
      </c>
      <c r="C25" s="6" t="inlineStr">
        <is>
          <t>0〜3600</t>
        </is>
      </c>
      <c r="D25" s="6" t="inlineStr">
        <is>
          <t>停止側の時計。起動の修正では触らない</t>
        </is>
      </c>
      <c r="E25" s="15" t="n"/>
      <c r="F25" s="15" t="n"/>
      <c r="G25" s="15" t="n"/>
      <c r="H25" s="15" t="n"/>
      <c r="I25" s="16" t="n"/>
    </row>
    <row r="26" ht="36" customHeight="1">
      <c r="A26" s="7" t="inlineStr">
        <is>
          <t>stopTimeout</t>
        </is>
      </c>
      <c r="B26" s="7" t="inlineStr">
        <is>
          <t>変えない（初期値30）</t>
        </is>
      </c>
      <c r="C26" s="7" t="inlineStr">
        <is>
          <t>2〜120</t>
        </is>
      </c>
      <c r="D26" s="7" t="inlineStr">
        <is>
          <t>JBossの停止を測ってから別途決める。160秒とは足さない</t>
        </is>
      </c>
      <c r="E26" s="15" t="n"/>
      <c r="F26" s="15" t="n"/>
      <c r="G26" s="15" t="n"/>
      <c r="H26" s="15" t="n"/>
      <c r="I26" s="16" t="n"/>
    </row>
    <row r="28" ht="44" customHeight="1">
      <c r="A28" s="3" t="inlineStr">
        <is>
          <t>-k は、証明書の名前が127.0.0.1と一致しないタスク内部の検査のため。外向けのTLS検証を外す設定ではない。検証できる証明書があるなら -k は付けない。フロントの待受ポートと準備完了パスは依頼文に無いので、ALBが叩く口と揃える。</t>
        </is>
      </c>
      <c r="B28" s="3" t="n"/>
      <c r="C28" s="3" t="n"/>
      <c r="D28" s="3" t="n"/>
      <c r="E28" s="3" t="n"/>
      <c r="F28" s="3" t="n"/>
      <c r="G28" s="3" t="n"/>
      <c r="H28" s="3" t="n"/>
      <c r="I28" s="3" t="n"/>
    </row>
  </sheetData>
  <mergeCells count="17">
    <mergeCell ref="B12:I12"/>
    <mergeCell ref="B13:I13"/>
    <mergeCell ref="D19:I19"/>
    <mergeCell ref="D24:I24"/>
    <mergeCell ref="A2:I2"/>
    <mergeCell ref="B15:I15"/>
    <mergeCell ref="A10:I10"/>
    <mergeCell ref="A28:I28"/>
    <mergeCell ref="D22:I22"/>
    <mergeCell ref="D23:I23"/>
    <mergeCell ref="A1:I1"/>
    <mergeCell ref="A17:I17"/>
    <mergeCell ref="B14:I14"/>
    <mergeCell ref="D20:I20"/>
    <mergeCell ref="D21:I21"/>
    <mergeCell ref="D25:I25"/>
    <mergeCell ref="D26:I26"/>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推奨設定</oddHeader>
    <oddFooter>&amp;L&amp;"Meiryo UI"&amp;8 2026-10-12  検討資料  モノトーン  Meiryo UI&amp;R&amp;"Meiryo UI"&amp;8 ページ &amp;P / &amp;N</oddFooter>
    <evenHeader/>
    <evenFooter/>
    <firstHeader/>
    <firstFooter/>
  </headerFooter>
</worksheet>
</file>

<file path=xl/worksheets/sheet10.xml><?xml version="1.0" encoding="utf-8"?>
<worksheet xmlns="http://schemas.openxmlformats.org/spreadsheetml/2006/main">
  <sheetPr>
    <tabColor rgb="004A4A4A"/>
    <outlinePr summaryBelow="1" summaryRight="1"/>
    <pageSetUpPr fitToPage="1"/>
  </sheetPr>
  <dimension ref="A1:D26"/>
  <sheetViews>
    <sheetView showGridLines="0" zoomScale="110" workbookViewId="0">
      <pane ySplit="5" topLeftCell="A6" activePane="bottomLeft" state="frozen"/>
      <selection pane="bottomLeft" activeCell="A1" sqref="A1"/>
    </sheetView>
  </sheetViews>
  <sheetFormatPr baseColWidth="8" defaultColWidth="14" defaultRowHeight="18"/>
  <cols>
    <col width="24" customWidth="1" min="1" max="1"/>
    <col width="18" customWidth="1" min="2" max="2"/>
    <col width="55" customWidth="1" min="3" max="3"/>
    <col width="55" customWidth="1" min="4" max="4"/>
  </cols>
  <sheetData>
    <row r="1" ht="36" customHeight="1">
      <c r="A1" s="8" t="inlineStr">
        <is>
          <t>タイムライン    時刻0は依存のないコンテナの起動</t>
        </is>
      </c>
      <c r="B1" s="8" t="n"/>
      <c r="C1" s="8" t="n"/>
      <c r="D1" s="8" t="n"/>
    </row>
    <row r="2" ht="32" customHeight="1">
      <c r="A2" s="3" t="inlineStr">
        <is>
          <t>イメージ取得の長さは含まない。時刻は計算シートの式。ADOT計画値を変えると、この表の時刻も変わる。</t>
        </is>
      </c>
      <c r="B2" s="3" t="n"/>
      <c r="C2" s="3" t="n"/>
      <c r="D2" s="3" t="n"/>
    </row>
    <row r="4" ht="24" customHeight="1">
      <c r="A4" s="4" t="inlineStr">
        <is>
          <t>パターンA</t>
        </is>
      </c>
      <c r="B4" s="4" t="n"/>
      <c r="C4" s="4" t="n"/>
      <c r="D4" s="4" t="n"/>
    </row>
    <row r="5" ht="30" customHeight="1">
      <c r="A5" s="5" t="inlineStr">
        <is>
          <t>出来事</t>
        </is>
      </c>
      <c r="B5" s="5" t="inlineStr">
        <is>
          <t>時刻（秒）</t>
        </is>
      </c>
      <c r="C5" s="5" t="inlineStr">
        <is>
          <t>バックエンド</t>
        </is>
      </c>
      <c r="D5" s="5" t="inlineStr">
        <is>
          <t>フロントエンド</t>
        </is>
      </c>
    </row>
    <row r="6" ht="36" customHeight="1">
      <c r="A6" s="6" t="inlineStr">
        <is>
          <t>ADOTとCWが起動</t>
        </is>
      </c>
      <c r="B6" s="11" t="n">
        <v>0</v>
      </c>
      <c r="C6" s="6" t="inlineStr">
        <is>
          <t>まだ起動しない</t>
        </is>
      </c>
      <c r="D6" s="6" t="inlineStr">
        <is>
          <t>まだ起動しない</t>
        </is>
      </c>
    </row>
    <row r="7" ht="36" customHeight="1">
      <c r="A7" s="7" t="inlineStr">
        <is>
          <t>ADOTがHEALTHYの計画</t>
        </is>
      </c>
      <c r="B7" s="12">
        <f>計算!C11</f>
        <v/>
      </c>
      <c r="C7" s="7" t="inlineStr">
        <is>
          <t>起動する。startPeriodが始まる</t>
        </is>
      </c>
      <c r="D7" s="7" t="inlineStr">
        <is>
          <t>同時に起動する。startPeriodが始まる</t>
        </is>
      </c>
    </row>
    <row r="8" ht="36" customHeight="1">
      <c r="A8" s="6" t="inlineStr">
        <is>
          <t>ALBがunhealthyの目安</t>
        </is>
      </c>
      <c r="B8" s="11">
        <f>計算!C65</f>
        <v/>
      </c>
      <c r="C8" s="6" t="inlineStr">
        <is>
          <t>起動の途中</t>
        </is>
      </c>
      <c r="D8" s="6" t="inlineStr">
        <is>
          <t>起動の途中。トラフィックは流れない</t>
        </is>
      </c>
    </row>
    <row r="9" ht="36" customHeight="1">
      <c r="A9" s="7" t="inlineStr">
        <is>
          <t>遅いほうが準備完了</t>
        </is>
      </c>
      <c r="B9" s="12">
        <f>計算!C54</f>
        <v/>
      </c>
      <c r="C9" s="7" t="inlineStr">
        <is>
          <t>見積の終わり</t>
        </is>
      </c>
      <c r="D9" s="7" t="inlineStr">
        <is>
          <t>自分のデプロイはもっと前に終わっている。200は相手を待つ</t>
        </is>
      </c>
    </row>
    <row r="10" ht="36" customHeight="1">
      <c r="A10" s="6" t="inlineStr">
        <is>
          <t>コンテナHEALTHYの目安</t>
        </is>
      </c>
      <c r="B10" s="11">
        <f>計算!C54+計算!C14</f>
        <v/>
      </c>
      <c r="C10" s="6" t="inlineStr">
        <is>
          <t>検査1回分のあと</t>
        </is>
      </c>
      <c r="D10" s="6" t="inlineStr">
        <is>
          <t>同じ</t>
        </is>
      </c>
    </row>
    <row r="11" ht="36" customHeight="1">
      <c r="A11" s="7" t="inlineStr">
        <is>
          <t>両方healthyの見通し</t>
        </is>
      </c>
      <c r="B11" s="12">
        <f>計算!C55</f>
        <v/>
      </c>
      <c r="C11" s="7" t="inlineStr">
        <is>
          <t>デプロイが数えてよい</t>
        </is>
      </c>
      <c r="D11" s="7" t="inlineStr">
        <is>
          <t>ALBも戻っている見通し</t>
        </is>
      </c>
    </row>
    <row r="12" ht="36" customHeight="1">
      <c r="A12" s="6" t="inlineStr">
        <is>
          <t>コンテナ異常確定の目安</t>
        </is>
      </c>
      <c r="B12" s="11">
        <f>計算!C71</f>
        <v/>
      </c>
      <c r="C12" s="6" t="inlineStr">
        <is>
          <t>ずっと失敗した場合だけ</t>
        </is>
      </c>
      <c r="D12" s="6" t="inlineStr">
        <is>
          <t>同じ頃。猶予はまだ無視する</t>
        </is>
      </c>
    </row>
    <row r="13" ht="36" customHeight="1">
      <c r="A13" s="7" t="inlineStr">
        <is>
          <t>猶予の終わり</t>
        </is>
      </c>
      <c r="B13" s="12">
        <f>計算!C20</f>
        <v/>
      </c>
      <c r="C13" s="7" t="inlineStr">
        <is>
          <t>既にHEALTHYなら残る</t>
        </is>
      </c>
      <c r="D13" s="7" t="inlineStr">
        <is>
          <t>既にHEALTHYなら残る</t>
        </is>
      </c>
    </row>
    <row r="15" ht="24" customHeight="1">
      <c r="A15" s="4" t="inlineStr">
        <is>
          <t>パターンB</t>
        </is>
      </c>
      <c r="B15" s="4" t="n"/>
      <c r="C15" s="4" t="n"/>
      <c r="D15" s="4" t="n"/>
    </row>
    <row r="16" ht="30" customHeight="1">
      <c r="A16" s="5" t="inlineStr">
        <is>
          <t>出来事</t>
        </is>
      </c>
      <c r="B16" s="5" t="inlineStr">
        <is>
          <t>時刻（秒）</t>
        </is>
      </c>
      <c r="C16" s="5" t="inlineStr">
        <is>
          <t>バックエンド</t>
        </is>
      </c>
      <c r="D16" s="5" t="inlineStr">
        <is>
          <t>フロントエンド</t>
        </is>
      </c>
    </row>
    <row r="17" ht="36" customHeight="1">
      <c r="A17" s="6" t="inlineStr">
        <is>
          <t>ADOTとCWが起動</t>
        </is>
      </c>
      <c r="B17" s="11" t="n">
        <v>0</v>
      </c>
      <c r="C17" s="6" t="inlineStr">
        <is>
          <t>まだ起動しない</t>
        </is>
      </c>
      <c r="D17" s="6" t="inlineStr">
        <is>
          <t>起動しない</t>
        </is>
      </c>
    </row>
    <row r="18" ht="36" customHeight="1">
      <c r="A18" s="7" t="inlineStr">
        <is>
          <t>バックが起動</t>
        </is>
      </c>
      <c r="B18" s="12">
        <f>計算!C11</f>
        <v/>
      </c>
      <c r="C18" s="7" t="inlineStr">
        <is>
          <t>startPeriod開始</t>
        </is>
      </c>
      <c r="D18" s="7" t="inlineStr">
        <is>
          <t>まだ起動しない</t>
        </is>
      </c>
    </row>
    <row r="19" ht="36" customHeight="1">
      <c r="A19" s="6" t="inlineStr">
        <is>
          <t>ALBがunhealthyの目安</t>
        </is>
      </c>
      <c r="B19" s="11">
        <f>計算!C65</f>
        <v/>
      </c>
      <c r="C19" s="6" t="inlineStr">
        <is>
          <t>起動の途中</t>
        </is>
      </c>
      <c r="D19" s="6" t="inlineStr">
        <is>
          <t>受付が居ないので失敗が続く</t>
        </is>
      </c>
    </row>
    <row r="20" ht="36" customHeight="1">
      <c r="A20" s="7" t="inlineStr">
        <is>
          <t>バックがHEALTHYと観測</t>
        </is>
      </c>
      <c r="B20" s="12">
        <f>計算!C59</f>
        <v/>
      </c>
      <c r="C20" s="7" t="inlineStr">
        <is>
          <t>待っていた側を解放する</t>
        </is>
      </c>
      <c r="D20" s="7" t="inlineStr">
        <is>
          <t>ここで初めて起動。年齢0秒</t>
        </is>
      </c>
    </row>
    <row r="21" ht="36" customHeight="1">
      <c r="A21" s="6" t="inlineStr">
        <is>
          <t>猶予300秒</t>
        </is>
      </c>
      <c r="B21" s="11">
        <f>計算!C20</f>
        <v/>
      </c>
      <c r="C21" s="6" t="inlineStr">
        <is>
          <t>HEALTHYのまま</t>
        </is>
      </c>
      <c r="D21" s="6" t="inlineStr">
        <is>
          <t>年齢は計算!C60。不足は計算!C61</t>
        </is>
      </c>
    </row>
    <row r="22" ht="36" customHeight="1">
      <c r="A22" s="7" t="inlineStr">
        <is>
          <t>フロント準備完了</t>
        </is>
      </c>
      <c r="B22" s="12">
        <f>計算!C62</f>
        <v/>
      </c>
      <c r="C22" s="7" t="inlineStr">
        <is>
          <t>既にサービス中</t>
        </is>
      </c>
      <c r="D22" s="7" t="inlineStr">
        <is>
          <t>自分の見積の終わり</t>
        </is>
      </c>
    </row>
    <row r="23" ht="36" customHeight="1">
      <c r="A23" s="6" t="inlineStr">
        <is>
          <t>両方healthy</t>
        </is>
      </c>
      <c r="B23" s="11">
        <f>計算!C63</f>
        <v/>
      </c>
      <c r="C23" s="6" t="inlineStr">
        <is>
          <t>両方そろった見通し</t>
        </is>
      </c>
      <c r="D23" s="6" t="inlineStr">
        <is>
          <t>猶予が420秒なら、この前に無視が終わらない</t>
        </is>
      </c>
    </row>
    <row r="24" ht="36" customHeight="1">
      <c r="A24" s="7" t="inlineStr">
        <is>
          <t>直列の猶予の終わり</t>
        </is>
      </c>
      <c r="B24" s="12">
        <f>計算!C21</f>
        <v/>
      </c>
      <c r="C24" s="7" t="inlineStr">
        <is>
          <t>残りは計算!C64</t>
        </is>
      </c>
      <c r="D24" s="7" t="inlineStr">
        <is>
          <t>ここで初めて無視が終わる</t>
        </is>
      </c>
    </row>
    <row r="26" ht="40" customHeight="1">
      <c r="A26" s="3" t="inlineStr">
        <is>
          <t>パターンBの「猶予300秒」の行が、依頼文の場面。フロントの年齢が自分の見積より小さいあいだに、スケジューラがALBの異常を採用する。</t>
        </is>
      </c>
      <c r="B26" s="3" t="n"/>
      <c r="C26" s="3" t="n"/>
      <c r="D26" s="3" t="n"/>
    </row>
  </sheetData>
  <mergeCells count="5">
    <mergeCell ref="A1:D1"/>
    <mergeCell ref="A4:D4"/>
    <mergeCell ref="A26:D26"/>
    <mergeCell ref="A15:D15"/>
    <mergeCell ref="A2:D2"/>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タイムライン</oddHeader>
    <oddFooter>&amp;L&amp;"Meiryo UI"&amp;8 2026-10-12  検討資料  モノトーン  Meiryo UI&amp;R&amp;"Meiryo UI"&amp;8 ページ &amp;P / &amp;N</oddFooter>
    <evenHeader/>
    <evenFooter/>
    <firstHeader/>
    <firstFooter/>
  </headerFooter>
</worksheet>
</file>

<file path=xl/worksheets/sheet11.xml><?xml version="1.0" encoding="utf-8"?>
<worksheet xmlns="http://schemas.openxmlformats.org/spreadsheetml/2006/main">
  <sheetPr>
    <tabColor rgb="004A4A4A"/>
    <outlinePr summaryBelow="1" summaryRight="1"/>
    <pageSetUpPr fitToPage="1"/>
  </sheetPr>
  <dimension ref="A1:C25"/>
  <sheetViews>
    <sheetView showGridLines="0" zoomScale="110" workbookViewId="0">
      <pane ySplit="4" topLeftCell="A5" activePane="bottomLeft" state="frozen"/>
      <selection pane="bottomLeft" activeCell="A1" sqref="A1"/>
    </sheetView>
  </sheetViews>
  <sheetFormatPr baseColWidth="8" defaultColWidth="14" defaultRowHeight="18"/>
  <cols>
    <col width="28" customWidth="1" min="1" max="1"/>
    <col width="42" customWidth="1" min="2" max="2"/>
    <col width="42" customWidth="1" min="3" max="3"/>
  </cols>
  <sheetData>
    <row r="1" ht="36" customHeight="1">
      <c r="A1" s="8" t="inlineStr">
        <is>
          <t>300秒の瞬間</t>
        </is>
      </c>
      <c r="B1" s="8" t="n"/>
      <c r="C1" s="8" t="n"/>
    </row>
    <row r="2" ht="32" customHeight="1">
      <c r="A2" s="3" t="inlineStr">
        <is>
          <t>同じ300秒でも、並列と直列で教室の中の様子が違う。秒数は計算シートの入力に従う。</t>
        </is>
      </c>
      <c r="B2" s="3" t="n"/>
      <c r="C2" s="3" t="n"/>
    </row>
    <row r="4" ht="30" customHeight="1">
      <c r="A4" s="5" t="inlineStr">
        <is>
          <t>見ているもの</t>
        </is>
      </c>
      <c r="B4" s="5" t="inlineStr">
        <is>
          <t>パターンA 並列</t>
        </is>
      </c>
      <c r="C4" s="5" t="inlineStr">
        <is>
          <t>パターンB 直列</t>
        </is>
      </c>
    </row>
    <row r="5" ht="42" customHeight="1">
      <c r="A5" s="6" t="inlineStr">
        <is>
          <t>バックエンド</t>
        </is>
      </c>
      <c r="B5" s="6" t="inlineStr">
        <is>
          <t>起動から約160秒の見積を、ADOTのあとに終えている</t>
        </is>
      </c>
      <c r="C5" s="6" t="inlineStr">
        <is>
          <t>もっと前にHEALTHY</t>
        </is>
      </c>
    </row>
    <row r="6" ht="42" customHeight="1">
      <c r="A6" s="7" t="inlineStr">
        <is>
          <t>バックが動き始めてからの経過</t>
        </is>
      </c>
      <c r="B6" s="12">
        <f>計算!C20-計算!C11</f>
        <v/>
      </c>
      <c r="C6" s="12">
        <f>計算!C20-計算!C11</f>
        <v/>
      </c>
    </row>
    <row r="7" ht="42" customHeight="1">
      <c r="A7" s="6" t="inlineStr">
        <is>
          <t>フロントの年齢</t>
        </is>
      </c>
      <c r="B7" s="11">
        <f>計算!C20-計算!C11</f>
        <v/>
      </c>
      <c r="C7" s="11">
        <f>計算!C60</f>
        <v/>
      </c>
    </row>
    <row r="8" ht="42" customHeight="1">
      <c r="A8" s="7" t="inlineStr">
        <is>
          <t>フロントの見積</t>
        </is>
      </c>
      <c r="B8" s="12">
        <f>計算!C51</f>
        <v/>
      </c>
      <c r="C8" s="12">
        <f>計算!C39</f>
        <v/>
      </c>
    </row>
    <row r="9" ht="42" customHeight="1">
      <c r="A9" s="6" t="inlineStr">
        <is>
          <t>見積までの残り</t>
        </is>
      </c>
      <c r="B9" s="11">
        <f>計算!C51-(計算!C20-計算!C11)</f>
        <v/>
      </c>
      <c r="C9" s="11">
        <f>計算!C61</f>
        <v/>
      </c>
    </row>
    <row r="10" ht="42" customHeight="1">
      <c r="A10" s="7" t="inlineStr">
        <is>
          <t>残りが負なら</t>
        </is>
      </c>
      <c r="B10" s="7" t="inlineStr">
        <is>
          <t>見積の時刻は過ぎている。300秒より前にhealthyの見通し</t>
        </is>
      </c>
      <c r="C10" s="7" t="inlineStr">
        <is>
          <t>正なら、まだ見積の途中</t>
        </is>
      </c>
    </row>
    <row r="11" ht="42" customHeight="1">
      <c r="A11" s="6" t="inlineStr">
        <is>
          <t>ALB</t>
        </is>
      </c>
      <c r="B11" s="6" t="inlineStr">
        <is>
          <t>戻ったあとのhealthyの見通し。時刻は計算!C55</t>
        </is>
      </c>
      <c r="C11" s="6" t="inlineStr">
        <is>
          <t>登録直後から失敗し、約計算!C65秒でunhealthyのまま</t>
        </is>
      </c>
    </row>
    <row r="12" ht="42" customHeight="1">
      <c r="A12" s="7" t="inlineStr">
        <is>
          <t>スケジューラ</t>
        </is>
      </c>
      <c r="B12" s="7" t="inlineStr">
        <is>
          <t>無視を終える。既にhealthyなら止めない</t>
        </is>
      </c>
      <c r="C12" s="7" t="inlineStr">
        <is>
          <t>無視を終える。unhealthyなので止める</t>
        </is>
      </c>
    </row>
    <row r="13" ht="42" customHeight="1">
      <c r="A13" s="6" t="inlineStr">
        <is>
          <t>依頼文の絵</t>
        </is>
      </c>
      <c r="B13" s="6" t="inlineStr">
        <is>
          <t>起きない。フロントはADOTの時点で起動済み</t>
        </is>
      </c>
      <c r="C13" s="6" t="inlineStr">
        <is>
          <t>結果は起きる。検査の開始が300秒、という部分だけが違う</t>
        </is>
      </c>
    </row>
    <row r="15" ht="36" customHeight="1">
      <c r="A15" s="3" t="inlineStr">
        <is>
          <t>「残り」が負なのは、300秒の時点で見積時間を使い切ったあと、という表示。異常ではない。直列の残りが正なら、見積が終わっていない。</t>
        </is>
      </c>
      <c r="B15" s="3" t="n"/>
      <c r="C15" s="3" t="n"/>
    </row>
    <row r="17" ht="24" customHeight="1">
      <c r="A17" s="4" t="inlineStr">
        <is>
          <t>直列の300秒を文章にすると</t>
        </is>
      </c>
      <c r="B17" s="4" t="n"/>
      <c r="C17" s="4" t="n"/>
    </row>
    <row r="18" ht="30" customHeight="1">
      <c r="A18" s="5" t="inlineStr">
        <is>
          <t>順序</t>
        </is>
      </c>
      <c r="B18" s="5" t="inlineStr">
        <is>
          <t>内容</t>
        </is>
      </c>
      <c r="C18" s="5" t="inlineStr"/>
    </row>
    <row r="19" ht="32" customHeight="1">
      <c r="A19" s="6" t="inlineStr">
        <is>
          <t>1</t>
        </is>
      </c>
      <c r="B19" s="6" t="inlineStr">
        <is>
          <t>時刻0にADOTとCloudWatch Agentが起動し、ALBはフロントのポートを叩き始める</t>
        </is>
      </c>
      <c r="C19" s="6" t="inlineStr"/>
    </row>
    <row r="20" ht="32" customHeight="1">
      <c r="A20" s="7" t="inlineStr">
        <is>
          <t>2</t>
        </is>
      </c>
      <c r="B20" s="7" t="inlineStr">
        <is>
          <t>ADOT計画値のあとバックエンドが起動する</t>
        </is>
      </c>
      <c r="C20" s="7" t="inlineStr"/>
    </row>
    <row r="21" ht="32" customHeight="1">
      <c r="A21" s="6" t="inlineStr">
        <is>
          <t>3</t>
        </is>
      </c>
      <c r="B21" s="6" t="inlineStr">
        <is>
          <t>バックエンドの見積と、検査1回分のあとにHEALTHYになり、フロントが初めて起動する</t>
        </is>
      </c>
      <c r="C21" s="6" t="inlineStr"/>
    </row>
    <row r="22" ht="32" customHeight="1">
      <c r="A22" s="7" t="inlineStr">
        <is>
          <t>4</t>
        </is>
      </c>
      <c r="B22" s="7" t="inlineStr">
        <is>
          <t>その起動時刻は計算シートの「直列でフロントが起動する時刻」</t>
        </is>
      </c>
      <c r="C22" s="7" t="inlineStr"/>
    </row>
    <row r="23" ht="32" customHeight="1">
      <c r="A23" s="6" t="inlineStr">
        <is>
          <t>5</t>
        </is>
      </c>
      <c r="B23" s="6" t="inlineStr">
        <is>
          <t>猶予の終わりまでの年齢が、フロント自身の見積より小さい</t>
        </is>
      </c>
      <c r="C23" s="6" t="inlineStr"/>
    </row>
    <row r="24" ht="32" customHeight="1">
      <c r="A24" s="7" t="inlineStr">
        <is>
          <t>6</t>
        </is>
      </c>
      <c r="B24" s="7" t="inlineStr">
        <is>
          <t>ALBは新しい検査を始めるのではなく、すでにunhealthy</t>
        </is>
      </c>
      <c r="C24" s="7" t="inlineStr"/>
    </row>
    <row r="25" ht="32" customHeight="1">
      <c r="A25" s="6" t="inlineStr">
        <is>
          <t>7</t>
        </is>
      </c>
      <c r="B25" s="6" t="inlineStr">
        <is>
          <t>スケジューラは異常を採用し、タスクを止める</t>
        </is>
      </c>
      <c r="C25" s="6" t="inlineStr"/>
    </row>
  </sheetData>
  <mergeCells count="4">
    <mergeCell ref="A1:C1"/>
    <mergeCell ref="A2:C2"/>
    <mergeCell ref="A17:C17"/>
    <mergeCell ref="A15:C15"/>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UI"&amp;9 300秒の瞬間</oddHeader>
    <oddFooter>&amp;L&amp;"Meiryo UI"&amp;8 2026-10-12  検討資料  モノトーン  Meiryo UI&amp;R&amp;"Meiryo UI"&amp;8 ページ &amp;P / &amp;N</oddFooter>
    <evenHeader/>
    <evenFooter/>
    <firstHeader/>
    <firstFooter/>
  </headerFooter>
</worksheet>
</file>

<file path=xl/worksheets/sheet12.xml><?xml version="1.0" encoding="utf-8"?>
<worksheet xmlns="http://schemas.openxmlformats.org/spreadsheetml/2006/main">
  <sheetPr>
    <tabColor rgb="004A4A4A"/>
    <outlinePr summaryBelow="1" summaryRight="1"/>
    <pageSetUpPr fitToPage="1"/>
  </sheetPr>
  <dimension ref="A1:C22"/>
  <sheetViews>
    <sheetView showGridLines="0" zoomScale="110" workbookViewId="0">
      <pane ySplit="4" topLeftCell="A5" activePane="bottomLeft" state="frozen"/>
      <selection pane="bottomLeft" activeCell="A1" sqref="A1"/>
    </sheetView>
  </sheetViews>
  <sheetFormatPr baseColWidth="8" defaultColWidth="14" defaultRowHeight="18"/>
  <cols>
    <col width="24" customWidth="1" min="1" max="1"/>
    <col width="46" customWidth="1" min="2" max="2"/>
    <col width="62" customWidth="1" min="3" max="3"/>
  </cols>
  <sheetData>
    <row r="1" ht="36" customHeight="1">
      <c r="A1" s="8" t="inlineStr">
        <is>
          <t>歴史    なぜタイマーが分かれたか</t>
        </is>
      </c>
      <c r="B1" s="8" t="n"/>
      <c r="C1" s="8" t="n"/>
    </row>
    <row r="2" ht="28" customHeight="1">
      <c r="A2" s="3" t="inlineStr">
        <is>
          <t>起動が遅いJBossでは、別の時代に別の理由で増えたタイマーが同時に動く。</t>
        </is>
      </c>
      <c r="B2" s="3" t="n"/>
      <c r="C2" s="3" t="n"/>
    </row>
    <row r="4" ht="30" customHeight="1">
      <c r="A4" s="5" t="inlineStr">
        <is>
          <t>時期</t>
        </is>
      </c>
      <c r="B4" s="5" t="inlineStr">
        <is>
          <t>できたもの</t>
        </is>
      </c>
      <c r="C4" s="5" t="inlineStr">
        <is>
          <t>必要になった理由</t>
        </is>
      </c>
    </row>
    <row r="5" ht="36" customHeight="1">
      <c r="A5" s="6" t="inlineStr">
        <is>
          <t>2009年ごろ</t>
        </is>
      </c>
      <c r="B5" s="6" t="inlineStr">
        <is>
          <t>ELBが後ろのサーバを定期的に叩く</t>
        </is>
      </c>
      <c r="C5" s="6" t="inlineStr">
        <is>
          <t>止まったサーバへ利用者を案内しないため</t>
        </is>
      </c>
    </row>
    <row r="6" ht="36" customHeight="1">
      <c r="A6" s="7" t="inlineStr">
        <is>
          <t>2015年</t>
        </is>
      </c>
      <c r="B6" s="7" t="inlineStr">
        <is>
          <t>Amazon ECSの一般提供</t>
        </is>
      </c>
      <c r="C6" s="7" t="inlineStr">
        <is>
          <t>サービスの健康は主にELBの結果だった</t>
        </is>
      </c>
    </row>
    <row r="7" ht="36" customHeight="1">
      <c r="A7" s="6" t="inlineStr">
        <is>
          <t>2016年7月</t>
        </is>
      </c>
      <c r="B7" s="6" t="inlineStr">
        <is>
          <t>Docker 1.12のHEALTHCHECK</t>
        </is>
      </c>
      <c r="C7" s="6" t="inlineStr">
        <is>
          <t>ロードバランサーが無いプロセスも生死を返したくなった</t>
        </is>
      </c>
    </row>
    <row r="8" ht="36" customHeight="1">
      <c r="A8" s="7" t="inlineStr">
        <is>
          <t>2016年</t>
        </is>
      </c>
      <c r="B8" s="7" t="inlineStr">
        <is>
          <t>Application Load Balancer</t>
        </is>
      </c>
      <c r="C8" s="7" t="inlineStr">
        <is>
          <t>パスとステータスコードで検査したくなった</t>
        </is>
      </c>
    </row>
    <row r="9" ht="36" customHeight="1">
      <c r="A9" s="6" t="inlineStr">
        <is>
          <t>2017-05-04</t>
        </is>
      </c>
      <c r="B9" s="6" t="inlineStr">
        <is>
          <t>Docker 17.05のstart-period</t>
        </is>
      </c>
      <c r="C9" s="6" t="inlineStr">
        <is>
          <t>起動中の失敗で異常にしたくない。成功したら猶予は終わる</t>
        </is>
      </c>
    </row>
    <row r="10" ht="36" customHeight="1">
      <c r="A10" s="7" t="inlineStr">
        <is>
          <t>2017年11月</t>
        </is>
      </c>
      <c r="B10" s="7" t="inlineStr">
        <is>
          <t>AWS Fargate</t>
        </is>
      </c>
      <c r="C10" s="7" t="inlineStr">
        <is>
          <t>サーバを持たずにタスクを動かす</t>
        </is>
      </c>
    </row>
    <row r="11" ht="36" customHeight="1">
      <c r="A11" s="6" t="inlineStr">
        <is>
          <t>2017-12-27</t>
        </is>
      </c>
      <c r="B11" s="6" t="inlineStr">
        <is>
          <t>ECSのELB猶予期間</t>
        </is>
      </c>
      <c r="C11" s="6" t="inlineStr">
        <is>
          <t>起動が遅いタスクをELBの失敗だけで止めていた</t>
        </is>
      </c>
    </row>
    <row r="12" ht="36" customHeight="1">
      <c r="A12" s="7" t="inlineStr">
        <is>
          <t>2018-03-08</t>
        </is>
      </c>
      <c r="B12" s="7" t="inlineStr">
        <is>
          <t>ECSのコンテナヘルスチェック</t>
        </is>
      </c>
      <c r="C12" s="7" t="inlineStr">
        <is>
          <t>ELBが無くてもessentialコンテナの検査で置き換える</t>
        </is>
      </c>
    </row>
    <row r="13" ht="36" customHeight="1">
      <c r="A13" s="6" t="inlineStr">
        <is>
          <t>2019-03-07</t>
        </is>
      </c>
      <c r="B13" s="6" t="inlineStr">
        <is>
          <t>dependsOn、startTimeout、stopTimeout</t>
        </is>
      </c>
      <c r="C13" s="6" t="inlineStr">
        <is>
          <t>同じタスクの起動順と停止順を指定できなかった</t>
        </is>
      </c>
    </row>
    <row r="14" ht="36" customHeight="1">
      <c r="A14" s="7" t="inlineStr">
        <is>
          <t>2019-03-27</t>
        </is>
      </c>
      <c r="B14" s="7" t="inlineStr">
        <is>
          <t>Fargateがそのパラメータに対応</t>
        </is>
      </c>
      <c r="C14" s="7" t="inlineStr">
        <is>
          <t>テレメトリのサイドカーを先に上げ、停止は後にする</t>
        </is>
      </c>
    </row>
    <row r="15" ht="36" customHeight="1">
      <c r="A15" s="6" t="inlineStr">
        <is>
          <t>2020年</t>
        </is>
      </c>
      <c r="B15" s="6" t="inlineStr">
        <is>
          <t>AWS Distro for OpenTelemetry</t>
        </is>
      </c>
      <c r="C15" s="6" t="inlineStr">
        <is>
          <t>起動直後のトレースを、受信側がいないあいだ落とさないため</t>
        </is>
      </c>
    </row>
    <row r="16" ht="36" customHeight="1">
      <c r="A16" s="7" t="inlineStr">
        <is>
          <t>2024年</t>
        </is>
      </c>
      <c r="B16" s="7" t="inlineStr">
        <is>
          <t>Dockerのstart-interval</t>
        </is>
      </c>
      <c r="C16" s="7" t="inlineStr">
        <is>
          <t>起動中だけ検査を細かくする。ECSのAPIには2026-10時点で無い</t>
        </is>
      </c>
    </row>
    <row r="17" ht="36" customHeight="1">
      <c r="A17" s="6" t="inlineStr">
        <is>
          <t>2026-01-30</t>
        </is>
      </c>
      <c r="B17" s="6" t="inlineStr">
        <is>
          <t>コンテナ健康のCloudWatchメトリクス</t>
        </is>
      </c>
      <c r="C17" s="6" t="inlineStr">
        <is>
          <t>猶予中でも異常だった事実を残せる</t>
        </is>
      </c>
    </row>
    <row r="18" ht="36" customHeight="1">
      <c r="A18" s="7" t="inlineStr">
        <is>
          <t>2026-06-15 / 06-30</t>
        </is>
      </c>
      <c r="B18" s="7" t="inlineStr">
        <is>
          <t>Fargate 1.3.0の新規停止と残タスク停止</t>
        </is>
      </c>
      <c r="C18" s="7" t="inlineStr">
        <is>
          <t>機能は残る。プラットフォームは1.4.0以降</t>
        </is>
      </c>
    </row>
    <row r="19" ht="36" customHeight="1">
      <c r="A19" s="6" t="inlineStr">
        <is>
          <t>2026-09-04</t>
        </is>
      </c>
      <c r="B19" s="6" t="inlineStr">
        <is>
          <t>デプロイのEarly Success Criteria</t>
        </is>
      </c>
      <c r="C19" s="6" t="inlineStr">
        <is>
          <t>成功とみなす割合の機能。この秒数の代わりにはならない</t>
        </is>
      </c>
    </row>
    <row r="20" ht="36" customHeight="1">
      <c r="A20" s="7" t="inlineStr">
        <is>
          <t>2026-10の開発者ガイド</t>
        </is>
      </c>
      <c r="B20" s="7" t="inlineStr">
        <is>
          <t>猶予の対象にELB、VPC Lattice、コンテナ検査</t>
        </is>
      </c>
      <c r="C20" s="7" t="inlineStr">
        <is>
          <t>2017年の告知はELBだけだった</t>
        </is>
      </c>
    </row>
    <row r="22" ht="32" customHeight="1">
      <c r="A22" s="3" t="inlineStr">
        <is>
          <t>告知の日付はAWS What's NewとDockerのリリースノートで確認したもの。ADOTは年だけを書き、日まではこの資料では特定していない。</t>
        </is>
      </c>
      <c r="B22" s="3" t="n"/>
      <c r="C22" s="3" t="n"/>
    </row>
  </sheetData>
  <autoFilter ref="A4:C20"/>
  <mergeCells count="3">
    <mergeCell ref="A1:C1"/>
    <mergeCell ref="A2:C2"/>
    <mergeCell ref="A22:C22"/>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歴史</oddHeader>
    <oddFooter>&amp;L&amp;"Meiryo UI"&amp;8 2026-10-12  検討資料  モノトーン  Meiryo UI&amp;R&amp;"Meiryo UI"&amp;8 ページ &amp;P / &amp;N</oddFooter>
    <evenHeader/>
    <evenFooter/>
    <firstHeader/>
    <firstFooter/>
  </headerFooter>
</worksheet>
</file>

<file path=xl/worksheets/sheet13.xml><?xml version="1.0" encoding="utf-8"?>
<worksheet xmlns="http://schemas.openxmlformats.org/spreadsheetml/2006/main">
  <sheetPr>
    <tabColor rgb="004A4A4A"/>
    <outlinePr summaryBelow="1" summaryRight="1"/>
    <pageSetUpPr fitToPage="1"/>
  </sheetPr>
  <dimension ref="A1:C39"/>
  <sheetViews>
    <sheetView showGridLines="0" zoomScale="110" workbookViewId="0">
      <pane ySplit="4" topLeftCell="A5" activePane="bottomLeft" state="frozen"/>
      <selection pane="bottomLeft" activeCell="A1" sqref="A1"/>
    </sheetView>
  </sheetViews>
  <sheetFormatPr baseColWidth="8" defaultColWidth="14" defaultRowHeight="18"/>
  <cols>
    <col width="18" customWidth="1" min="1" max="1"/>
    <col width="70" customWidth="1" min="2" max="2"/>
    <col width="40" customWidth="1" min="3" max="3"/>
  </cols>
  <sheetData>
    <row r="1" ht="36" customHeight="1">
      <c r="A1" s="8" t="inlineStr">
        <is>
          <t>未確定と、次に確認すること</t>
        </is>
      </c>
      <c r="B1" s="8" t="n"/>
      <c r="C1" s="8" t="n"/>
    </row>
    <row r="2" ht="32" customHeight="1">
      <c r="A2" s="3" t="inlineStr">
        <is>
          <t>この資料は稼働中のタスク定義を見ていない。次の確認で仮定が崩れたら、崩れた項目だけを計算シートで置き換える。</t>
        </is>
      </c>
      <c r="B2" s="3" t="n"/>
      <c r="C2" s="3" t="n"/>
    </row>
    <row r="4" ht="30" customHeight="1">
      <c r="A4" s="5" t="inlineStr">
        <is>
          <t>番号</t>
        </is>
      </c>
      <c r="B4" s="5" t="inlineStr">
        <is>
          <t>見ること</t>
        </is>
      </c>
      <c r="C4" s="5" t="inlineStr">
        <is>
          <t>崩れたときの直し方</t>
        </is>
      </c>
    </row>
    <row r="5" ht="44" customHeight="1">
      <c r="A5" s="6" t="inlineStr">
        <is>
          <t>1</t>
        </is>
      </c>
      <c r="B5" s="6" t="inlineStr">
        <is>
          <t>フロントの検査コマンドが、バックエンドのURLだけか</t>
        </is>
      </c>
      <c r="C5" s="6" t="inlineStr">
        <is>
          <t>自分の待受が含まれていなければ、推奨コマンドの2本目を足す</t>
        </is>
      </c>
    </row>
    <row r="6" ht="44" customHeight="1">
      <c r="A6" s="7" t="inlineStr">
        <is>
          <t>2</t>
        </is>
      </c>
      <c r="B6" s="7" t="inlineStr">
        <is>
          <t>バックエンド自身にヘルスチェックがあるか</t>
        </is>
      </c>
      <c r="C6" s="7" t="inlineStr">
        <is>
          <t>無いとHEALTHY依存は定義できない</t>
        </is>
      </c>
    </row>
    <row r="7" ht="44" customHeight="1">
      <c r="A7" s="6" t="inlineStr">
        <is>
          <t>3</t>
        </is>
      </c>
      <c r="B7" s="6" t="inlineStr">
        <is>
          <t>ADOTの設定にhealth_check拡張があり、13133と/healthcheckが一致するか</t>
        </is>
      </c>
      <c r="C7" s="6" t="inlineStr">
        <is>
          <t>一致しないとHEALTHYにならない</t>
        </is>
      </c>
    </row>
    <row r="8" ht="44" customHeight="1">
      <c r="A8" s="7" t="inlineStr">
        <is>
          <t>4</t>
        </is>
      </c>
      <c r="B8" s="7" t="inlineStr">
        <is>
          <t>CloudWatch Agentの検査コマンドがイメージに存在するか</t>
        </is>
      </c>
      <c r="C8" s="7" t="inlineStr">
        <is>
          <t>存在しないとタスクがHEALTHYにならない</t>
        </is>
      </c>
    </row>
    <row r="9" ht="44" customHeight="1">
      <c r="A9" s="6" t="inlineStr">
        <is>
          <t>5</t>
        </is>
      </c>
      <c r="B9" s="6" t="inlineStr">
        <is>
          <t>サービスの猶予と、ターゲットグループのderegistration_delayを別々に読む</t>
        </is>
      </c>
      <c r="C9" s="6" t="inlineStr">
        <is>
          <t>同じ300秒でも項目が違う</t>
        </is>
      </c>
    </row>
    <row r="10" ht="44" customHeight="1">
      <c r="A10" s="7" t="inlineStr">
        <is>
          <t>6</t>
        </is>
      </c>
      <c r="B10" s="7" t="inlineStr">
        <is>
          <t>バックエンドのポートを閉じたままフロントがデプロイ完了するか</t>
        </is>
      </c>
      <c r="C10" s="7" t="inlineStr">
        <is>
          <t>完了しないなら直列にし、猶予は計算!C21</t>
        </is>
      </c>
    </row>
    <row r="11" ht="44" customHeight="1">
      <c r="A11" s="6" t="inlineStr">
        <is>
          <t>7</t>
        </is>
      </c>
      <c r="B11" s="6" t="inlineStr">
        <is>
          <t>1回のデプロイで、ACTIVATING、RUNNING、ADOT成功、両JBossのログ、ターゲットの状態の時刻を残す</t>
        </is>
      </c>
      <c r="C11" s="6" t="inlineStr">
        <is>
          <t>ADOTが30秒を超えたら計算!C11だけを変える。JBossの160秒には足さない</t>
        </is>
      </c>
    </row>
    <row r="12" ht="44" customHeight="1">
      <c r="A12" s="7" t="inlineStr">
        <is>
          <t>8</t>
        </is>
      </c>
      <c r="B12" s="7" t="inlineStr">
        <is>
          <t>実測最大が80秒または70秒を超えるか</t>
        </is>
      </c>
      <c r="C12" s="7" t="inlineStr">
        <is>
          <t>超えたら計算!C7または計算!C9を変え、2倍は式が取り直す</t>
        </is>
      </c>
    </row>
    <row r="13" ht="44" customHeight="1">
      <c r="A13" s="6" t="inlineStr">
        <is>
          <t>9</t>
        </is>
      </c>
      <c r="B13" s="6" t="inlineStr">
        <is>
          <t>猶予中にコンテナがUNHEALTHYでもタスクが残り、猶予後に止まるか</t>
        </is>
      </c>
      <c r="C13" s="6" t="inlineStr">
        <is>
          <t>開発者ガイドとコンソールヘルプの差を、そのサービスで確認する</t>
        </is>
      </c>
    </row>
    <row r="15" ht="24" customHeight="1">
      <c r="A15" s="4" t="inlineStr">
        <is>
          <t>まだ特定していないこと</t>
        </is>
      </c>
      <c r="B15" s="4" t="n"/>
      <c r="C15" s="4" t="n"/>
    </row>
    <row r="16" ht="30" customHeight="1">
      <c r="A16" s="5" t="inlineStr">
        <is>
          <t>項目</t>
        </is>
      </c>
      <c r="B16" s="5" t="inlineStr">
        <is>
          <t>内容</t>
        </is>
      </c>
      <c r="C16" s="5" t="inlineStr">
        <is>
          <t>扱い</t>
        </is>
      </c>
    </row>
    <row r="17" ht="40" customHeight="1">
      <c r="A17" s="6" t="inlineStr">
        <is>
          <t>猶予の開始点</t>
        </is>
      </c>
      <c r="B17" s="6" t="inlineStr">
        <is>
          <t>「タスクが最初に開始されたあと」と、コンソールの「RUNNING前」が並立している</t>
        </is>
      </c>
      <c r="C17" s="6" t="inlineStr">
        <is>
          <t>安全側で、登録後は時計が動いているものとして計算</t>
        </is>
      </c>
    </row>
    <row r="18" ht="40" customHeight="1">
      <c r="A18" s="7" t="inlineStr">
        <is>
          <t>ADOTの実測</t>
        </is>
      </c>
      <c r="B18" s="7" t="inlineStr">
        <is>
          <t>30秒は計画値</t>
        </is>
      </c>
      <c r="C18" s="7" t="inlineStr">
        <is>
          <t>計算!C11</t>
        </is>
      </c>
    </row>
    <row r="19" ht="40" customHeight="1">
      <c r="A19" s="6" t="inlineStr">
        <is>
          <t>フロントが相手不在で起動完了できるか</t>
        </is>
      </c>
      <c r="B19" s="6" t="inlineStr">
        <is>
          <t>仮定A3</t>
        </is>
      </c>
      <c r="C19" s="6" t="inlineStr">
        <is>
          <t>手順6</t>
        </is>
      </c>
    </row>
    <row r="20" ht="40" customHeight="1">
      <c r="A20" s="7" t="inlineStr">
        <is>
          <t>実測時にサイドカーが居たか</t>
        </is>
      </c>
      <c r="B20" s="7" t="inlineStr">
        <is>
          <t>依頼文では不明</t>
        </is>
      </c>
      <c r="C20" s="7" t="inlineStr">
        <is>
          <t>居なければ、バッファのサンプル外がその分をまだ見ていない</t>
        </is>
      </c>
    </row>
    <row r="21" ht="40" customHeight="1">
      <c r="A21" s="6" t="inlineStr">
        <is>
          <t>startTimeout未指定の待ち</t>
        </is>
      </c>
      <c r="B21" s="6" t="inlineStr">
        <is>
          <t>Fargateの打ち切り秒数はAPIに無い</t>
        </is>
      </c>
      <c r="C21" s="6" t="inlineStr">
        <is>
          <t>だからバックエンドには書かず、ADOTに60秒を書く</t>
        </is>
      </c>
    </row>
    <row r="23" ht="24" customHeight="1">
      <c r="A23" s="4" t="inlineStr">
        <is>
          <t>出典</t>
        </is>
      </c>
      <c r="B23" s="4" t="n"/>
      <c r="C23" s="4" t="n"/>
    </row>
    <row r="24" ht="30" customHeight="1">
      <c r="A24" s="5" t="inlineStr">
        <is>
          <t>文書</t>
        </is>
      </c>
      <c r="B24" s="5" t="inlineStr">
        <is>
          <t>場所</t>
        </is>
      </c>
      <c r="C24" s="5" t="inlineStr">
        <is>
          <t>使った箇所</t>
        </is>
      </c>
    </row>
    <row r="25" ht="30" customHeight="1">
      <c r="A25" s="6" t="inlineStr">
        <is>
          <t>ECS HealthCheck API</t>
        </is>
      </c>
      <c r="B25" s="6" t="inlineStr">
        <is>
          <t>docs.aws.amazon.com ECS API Reference API_HealthCheck</t>
        </is>
      </c>
      <c r="C25" s="6" t="inlineStr">
        <is>
          <t>0〜300秒、成功するとretriesに入る</t>
        </is>
      </c>
    </row>
    <row r="26" ht="30" customHeight="1">
      <c r="A26" s="7" t="inlineStr">
        <is>
          <t>ContainerDefinition</t>
        </is>
      </c>
      <c r="B26" s="7" t="inlineStr">
        <is>
          <t>API_ContainerDefinition</t>
        </is>
      </c>
      <c r="C26" s="7" t="inlineStr">
        <is>
          <t>startTimeoutとstopTimeoutはFargateで2〜120秒</t>
        </is>
      </c>
    </row>
    <row r="27" ht="30" customHeight="1">
      <c r="A27" s="6" t="inlineStr">
        <is>
          <t>ContainerDependency</t>
        </is>
      </c>
      <c r="B27" s="6" t="inlineStr">
        <is>
          <t>API_ContainerDependency</t>
        </is>
      </c>
      <c r="C27" s="6" t="inlineStr">
        <is>
          <t>HEALTHYは起動時だけ</t>
        </is>
      </c>
    </row>
    <row r="28" ht="30" customHeight="1">
      <c r="A28" s="7" t="inlineStr">
        <is>
          <t>Service definition parameters</t>
        </is>
      </c>
      <c r="B28" s="7" t="inlineStr">
        <is>
          <t>開発者ガイド。参照時の更新表示2026-10-10</t>
        </is>
      </c>
      <c r="C28" s="7" t="inlineStr">
        <is>
          <t>猶予の無視対象</t>
        </is>
      </c>
    </row>
    <row r="29" ht="30" customHeight="1">
      <c r="A29" s="6" t="inlineStr">
        <is>
          <t>Task lifecycle</t>
        </is>
      </c>
      <c r="B29" s="6" t="inlineStr">
        <is>
          <t>開発者ガイド。参照時2026-10-09</t>
        </is>
      </c>
      <c r="C29" s="6" t="inlineStr">
        <is>
          <t>ACTIVATINGでターゲット登録</t>
        </is>
      </c>
    </row>
    <row r="30" ht="30" customHeight="1">
      <c r="A30" s="7" t="inlineStr">
        <is>
          <t>Optimize load balancer health checks</t>
        </is>
      </c>
      <c r="B30" s="7" t="inlineStr">
        <is>
          <t>ECS開発者ガイド</t>
        </is>
      </c>
      <c r="C30" s="7" t="inlineStr">
        <is>
          <t>新規は成功1回。戻る時間は間隔×閾値</t>
        </is>
      </c>
    </row>
    <row r="31" ht="30" customHeight="1">
      <c r="A31" s="6" t="inlineStr">
        <is>
          <t>ALB target group health checks</t>
        </is>
      </c>
      <c r="B31" s="6" t="inlineStr">
        <is>
          <t>ELBユーザーガイド。参照時2026-10-10</t>
        </is>
      </c>
      <c r="C31" s="6" t="inlineStr">
        <is>
          <t>interval、timeout、閾値の範囲</t>
        </is>
      </c>
    </row>
    <row r="32" ht="30" customHeight="1">
      <c r="A32" s="7" t="inlineStr">
        <is>
          <t>Fargate task networking</t>
        </is>
      </c>
      <c r="B32" s="7" t="inlineStr">
        <is>
          <t>ECS開発者ガイド</t>
        </is>
      </c>
      <c r="C32" s="7" t="inlineStr">
        <is>
          <t>同一タスクのlocalhost</t>
        </is>
      </c>
    </row>
    <row r="33" ht="30" customHeight="1">
      <c r="A33" s="6" t="inlineStr">
        <is>
          <t>What's New 2017-12-27</t>
        </is>
      </c>
      <c r="B33" s="6" t="inlineStr">
        <is>
          <t>ELB Health Check Grace Period</t>
        </is>
      </c>
      <c r="C33" s="6" t="inlineStr">
        <is>
          <t>猶予の登場</t>
        </is>
      </c>
    </row>
    <row r="34" ht="30" customHeight="1">
      <c r="A34" s="7" t="inlineStr">
        <is>
          <t>What's New 2018-03-08</t>
        </is>
      </c>
      <c r="B34" s="7" t="inlineStr">
        <is>
          <t>Container health checks</t>
        </is>
      </c>
      <c r="C34" s="7" t="inlineStr">
        <is>
          <t>コンテナ検査の登場</t>
        </is>
      </c>
    </row>
    <row r="35" ht="30" customHeight="1">
      <c r="A35" s="6" t="inlineStr">
        <is>
          <t>What's New 2019-03-07</t>
        </is>
      </c>
      <c r="B35" s="6" t="inlineStr">
        <is>
          <t>Container dependency management</t>
        </is>
      </c>
      <c r="C35" s="6" t="inlineStr">
        <is>
          <t>dependsOnの登場</t>
        </is>
      </c>
    </row>
    <row r="36" ht="30" customHeight="1">
      <c r="A36" s="7" t="inlineStr">
        <is>
          <t>Fargate platform versions</t>
        </is>
      </c>
      <c r="B36" s="7" t="inlineStr">
        <is>
          <t>1.3.0は2019-03-27に対応。2026-06にRetired</t>
        </is>
      </c>
      <c r="C36" s="7" t="inlineStr">
        <is>
          <t>いまは1.4.0以降</t>
        </is>
      </c>
    </row>
    <row r="37" ht="30" customHeight="1">
      <c r="A37" s="6" t="inlineStr">
        <is>
          <t>Docker Engine 17.05</t>
        </is>
      </c>
      <c r="B37" s="6" t="inlineStr">
        <is>
          <t>2017-05-04 release notes</t>
        </is>
      </c>
      <c r="C37" s="6" t="inlineStr">
        <is>
          <t>start-period</t>
        </is>
      </c>
    </row>
    <row r="38" ht="30" customHeight="1">
      <c r="A38" s="7" t="inlineStr">
        <is>
          <t>ADOT ECS console手順</t>
        </is>
      </c>
      <c r="B38" s="7" t="inlineStr">
        <is>
          <t>aws-otel.github.io</t>
        </is>
      </c>
      <c r="C38" s="7" t="inlineStr">
        <is>
          <t>/healthcheckの例</t>
        </is>
      </c>
    </row>
    <row r="39" ht="30" customHeight="1">
      <c r="A39" s="6" t="inlineStr">
        <is>
          <t>OTel health_check拡張</t>
        </is>
      </c>
      <c r="B39" s="6" t="inlineStr">
        <is>
          <t>collector-contrib README</t>
        </is>
      </c>
      <c r="C39" s="6" t="inlineStr">
        <is>
          <t>初期エンドポイント13133</t>
        </is>
      </c>
    </row>
  </sheetData>
  <autoFilter ref="A24:C39"/>
  <mergeCells count="4">
    <mergeCell ref="A1:C1"/>
    <mergeCell ref="A23:C23"/>
    <mergeCell ref="A2:C2"/>
    <mergeCell ref="A15:C15"/>
  </mergeCells>
  <printOptions horizontalCentered="1"/>
  <pageMargins left="0.4" right="0.4" top="0.6" bottom="0.5" header="0.25" footer="0.25"/>
  <pageSetup orientation="landscape" paperSize="8" fitToHeight="2" fitToWidth="1" horizontalDpi="300" verticalDpi="300"/>
  <headerFooter>
    <oddHeader>&amp;L&amp;"Meiryo UI"&amp;9 ECS Fargate  startPeriod / dependsOn / ALB 猶予&amp;R&amp;"Meiryo UI"&amp;9 確認と出典</oddHeader>
    <oddFooter>&amp;L&amp;"Meiryo UI"&amp;8 2026-10-12  検討資料  モノトーン  Meiryo UI&amp;R&amp;"Meiryo UI"&amp;8 ページ &amp;P / &amp;N</oddFooter>
    <evenHeader/>
    <evenFooter/>
    <firstHeader/>
    <firstFooter/>
  </headerFooter>
</worksheet>
</file>

<file path=xl/worksheets/sheet14.xml><?xml version="1.0" encoding="utf-8"?>
<worksheet xmlns="http://schemas.openxmlformats.org/spreadsheetml/2006/main">
  <sheetPr>
    <tabColor rgb="004A4A4A"/>
    <outlinePr summaryBelow="1" summaryRight="1"/>
    <pageSetUpPr fitToPage="1"/>
  </sheetPr>
  <dimension ref="A1:C23"/>
  <sheetViews>
    <sheetView showGridLines="0" zoomScale="110" workbookViewId="0">
      <pane ySplit="3" topLeftCell="A4" activePane="bottomLeft" state="frozen"/>
      <selection pane="bottomLeft" activeCell="A1" sqref="A1"/>
    </sheetView>
  </sheetViews>
  <sheetFormatPr baseColWidth="8" defaultColWidth="14" defaultRowHeight="18"/>
  <cols>
    <col width="38" customWidth="1" min="1" max="1"/>
    <col width="34" customWidth="1" min="2" max="2"/>
    <col width="62" customWidth="1" min="3" max="3"/>
  </cols>
  <sheetData>
    <row r="1" ht="36" customHeight="1">
      <c r="A1" s="8" t="inlineStr">
        <is>
          <t>用語    たとえと公式名</t>
        </is>
      </c>
      <c r="B1" s="8" t="n"/>
      <c r="C1" s="8" t="n"/>
    </row>
    <row r="3" ht="30" customHeight="1">
      <c r="A3" s="5" t="inlineStr">
        <is>
          <t>公式名</t>
        </is>
      </c>
      <c r="B3" s="5" t="inlineStr">
        <is>
          <t>たとえ</t>
        </is>
      </c>
      <c r="C3" s="5" t="inlineStr">
        <is>
          <t>一文</t>
        </is>
      </c>
    </row>
    <row r="4" ht="34" customHeight="1">
      <c r="A4" s="6" t="inlineStr">
        <is>
          <t>タスク</t>
        </is>
      </c>
      <c r="B4" s="6" t="inlineStr">
        <is>
          <t>教室</t>
        </is>
      </c>
      <c r="C4" s="6" t="inlineStr">
        <is>
          <t>Fargate上の1つの実行単位。コンテナは同じENIとlocalhostを共有する</t>
        </is>
      </c>
    </row>
    <row r="5" ht="34" customHeight="1">
      <c r="A5" s="7" t="inlineStr">
        <is>
          <t>essential</t>
        </is>
      </c>
      <c r="B5" s="7" t="inlineStr">
        <is>
          <t>欠けると教室が成立しない人</t>
        </is>
      </c>
      <c r="C5" s="7" t="inlineStr">
        <is>
          <t>trueの人がUNHEALTHYならタスクがUNHEALTHY</t>
        </is>
      </c>
    </row>
    <row r="6" ht="34" customHeight="1">
      <c r="A6" s="6" t="inlineStr">
        <is>
          <t>startPeriod</t>
        </is>
      </c>
      <c r="B6" s="6" t="inlineStr">
        <is>
          <t>靴ひものカード</t>
        </is>
      </c>
      <c r="C6" s="6" t="inlineStr">
        <is>
          <t>起動直後の失敗を回数に入れない。成功したら終わる。0〜300秒</t>
        </is>
      </c>
    </row>
    <row r="7" ht="34" customHeight="1">
      <c r="A7" s="7" t="inlineStr">
        <is>
          <t>interval</t>
        </is>
      </c>
      <c r="B7" s="7" t="inlineStr">
        <is>
          <t>先生がドアを叩く間隔</t>
        </is>
      </c>
      <c r="C7" s="7" t="inlineStr">
        <is>
          <t>コンテナは5〜300秒。ALBも5〜300秒</t>
        </is>
      </c>
    </row>
    <row r="8" ht="34" customHeight="1">
      <c r="A8" s="6" t="inlineStr">
        <is>
          <t>timeout</t>
        </is>
      </c>
      <c r="B8" s="6" t="inlineStr">
        <is>
          <t>1回のノックを待つ時間</t>
        </is>
      </c>
      <c r="C8" s="6" t="inlineStr">
        <is>
          <t>コンテナは2〜60秒。ALBは2〜120秒</t>
        </is>
      </c>
    </row>
    <row r="9" ht="34" customHeight="1">
      <c r="A9" s="7" t="inlineStr">
        <is>
          <t>retries</t>
        </is>
      </c>
      <c r="B9" s="7" t="inlineStr">
        <is>
          <t>連続して失敗してよい回数</t>
        </is>
      </c>
      <c r="C9" s="7" t="inlineStr">
        <is>
          <t>startPeriodのあと。1〜10。初期値3</t>
        </is>
      </c>
    </row>
    <row r="10" ht="34" customHeight="1">
      <c r="A10" s="6" t="inlineStr">
        <is>
          <t>dependsOn HEALTHY</t>
        </is>
      </c>
      <c r="B10" s="6" t="inlineStr">
        <is>
          <t>相手の準備ができてから自分が出る</t>
        </is>
      </c>
      <c r="C10" s="6" t="inlineStr">
        <is>
          <t>相手の検査成功までプロセスを起動しない</t>
        </is>
      </c>
    </row>
    <row r="11" ht="34" customHeight="1">
      <c r="A11" s="7" t="inlineStr">
        <is>
          <t>startTimeout</t>
        </is>
      </c>
      <c r="B11" s="7" t="inlineStr">
        <is>
          <t>待ちくたびれたら帰る</t>
        </is>
      </c>
      <c r="C11" s="7" t="inlineStr">
        <is>
          <t>Fargateは2〜120秒。未指定の打ち切りは文書に無い</t>
        </is>
      </c>
    </row>
    <row r="12" ht="34" customHeight="1">
      <c r="A12" s="6" t="inlineStr">
        <is>
          <t>stopTimeout</t>
        </is>
      </c>
      <c r="B12" s="6" t="inlineStr">
        <is>
          <t>片付けの制限時間</t>
        </is>
      </c>
      <c r="C12" s="6" t="inlineStr">
        <is>
          <t>SIGTERMのあとSIGKILL。初期値30秒。上限120秒</t>
        </is>
      </c>
    </row>
    <row r="13" ht="34" customHeight="1">
      <c r="A13" s="7" t="inlineStr">
        <is>
          <t>healthCheckGracePeriodSeconds</t>
        </is>
      </c>
      <c r="B13" s="7" t="inlineStr">
        <is>
          <t>校長が朝のうちは見逃す時間</t>
        </is>
      </c>
      <c r="C13" s="7" t="inlineStr">
        <is>
          <t>スケジューラが異常を無視する。検査自体は止まらない</t>
        </is>
      </c>
    </row>
    <row r="14" ht="34" customHeight="1">
      <c r="A14" s="6" t="inlineStr">
        <is>
          <t>ACTIVATING</t>
        </is>
      </c>
      <c r="B14" s="6" t="inlineStr">
        <is>
          <t>教室の鍵と名簿の準備</t>
        </is>
      </c>
      <c r="C14" s="6" t="inlineStr">
        <is>
          <t>イメージ取得、コンテナ作成、ターゲット登録がこの状態に書かれている</t>
        </is>
      </c>
    </row>
    <row r="15" ht="34" customHeight="1">
      <c r="A15" s="7" t="inlineStr">
        <is>
          <t>RUNNING</t>
        </is>
      </c>
      <c r="B15" s="7" t="inlineStr">
        <is>
          <t>授業が始まっている</t>
        </is>
      </c>
      <c r="C15" s="7" t="inlineStr">
        <is>
          <t>猶予の開始点と同一とは、文書だけでは断定できない</t>
        </is>
      </c>
    </row>
    <row r="16" ht="34" customHeight="1">
      <c r="A16" s="6" t="inlineStr">
        <is>
          <t>initial</t>
        </is>
      </c>
      <c r="B16" s="6" t="inlineStr">
        <is>
          <t>名簿に載ったばかり</t>
        </is>
      </c>
      <c r="C16" s="6" t="inlineStr">
        <is>
          <t>ALBが最初の検査をしている状態</t>
        </is>
      </c>
    </row>
    <row r="17" ht="34" customHeight="1">
      <c r="A17" s="7" t="inlineStr">
        <is>
          <t>healthy</t>
        </is>
      </c>
      <c r="B17" s="7" t="inlineStr">
        <is>
          <t>入室してよい</t>
        </is>
      </c>
      <c r="C17" s="7" t="inlineStr">
        <is>
          <t>新規は成功1回。一度unhealthyなら閾値の回数</t>
        </is>
      </c>
    </row>
    <row r="18" ht="34" customHeight="1">
      <c r="A18" s="6" t="inlineStr">
        <is>
          <t>unhealthy</t>
        </is>
      </c>
      <c r="B18" s="6" t="inlineStr">
        <is>
          <t>入室させない</t>
        </is>
      </c>
      <c r="C18" s="6" t="inlineStr">
        <is>
          <t>ECSの猶予中でもALBはこの判定を出す</t>
        </is>
      </c>
    </row>
    <row r="19" ht="34" customHeight="1">
      <c r="A19" s="7" t="inlineStr">
        <is>
          <t>UNKNOWN</t>
        </is>
      </c>
      <c r="B19" s="7" t="inlineStr">
        <is>
          <t>まだ判定中</t>
        </is>
      </c>
      <c r="C19" s="7" t="inlineStr">
        <is>
          <t>検査の途中。essentialがUNKNOWNだとタスクもUNKNOWN</t>
        </is>
      </c>
    </row>
    <row r="20" ht="34" customHeight="1">
      <c r="A20" s="6" t="inlineStr">
        <is>
          <t>deregistration delay</t>
        </is>
      </c>
      <c r="B20" s="6" t="inlineStr">
        <is>
          <t>帰る人の荷物を待つ時間</t>
        </is>
      </c>
      <c r="C20" s="6" t="inlineStr">
        <is>
          <t>停止時。初期値300秒。起動の猶予ではない</t>
        </is>
      </c>
    </row>
    <row r="21" ht="34" customHeight="1">
      <c r="A21" s="7" t="inlineStr">
        <is>
          <t>idle timeout</t>
        </is>
      </c>
      <c r="B21" s="7" t="inlineStr">
        <is>
          <t>会話が途切れたら電話を切る</t>
        </is>
      </c>
      <c r="C21" s="7" t="inlineStr">
        <is>
          <t>ALBの初期値60秒。健康確認ではない</t>
        </is>
      </c>
    </row>
    <row r="22" ht="34" customHeight="1">
      <c r="A22" s="6" t="inlineStr">
        <is>
          <t>13133</t>
        </is>
      </c>
      <c r="B22" s="6" t="inlineStr">
        <is>
          <t>図書係の窓口</t>
        </is>
      </c>
      <c r="C22" s="6" t="inlineStr">
        <is>
          <t>OpenTelemetry Collectorのhealth_check拡張の初期ポート</t>
        </is>
      </c>
    </row>
    <row r="23" ht="34" customHeight="1">
      <c r="A23" s="7" t="inlineStr">
        <is>
          <t>localhost</t>
        </is>
      </c>
      <c r="B23" s="7" t="inlineStr">
        <is>
          <t>教室内線</t>
        </is>
      </c>
      <c r="C23" s="7" t="inlineStr">
        <is>
          <t>同じタスクの別コンテナのポートに届く</t>
        </is>
      </c>
    </row>
  </sheetData>
  <autoFilter ref="A3:C23"/>
  <mergeCells count="1">
    <mergeCell ref="A1:C1"/>
  </mergeCells>
  <printOptions horizontalCentered="1"/>
  <pageMargins left="0.4" right="0.4" top="0.6" bottom="0.5" header="0.25" footer="0.25"/>
  <pageSetup orientation="landscape" paperSize="8" fitToHeight="1" fitToWidth="1" horizontalDpi="300" verticalDpi="300"/>
  <headerFooter>
    <oddHeader>&amp;L&amp;"Meiryo UI"&amp;9 ECS Fargate  startPeriod / dependsOn / ALB 猶予&amp;R&amp;"Meiryo UI"&amp;9 用語</oddHeader>
    <oddFooter>&amp;L&amp;"Meiryo UI"&amp;8 2026-10-12  検討資料  モノトーン  Meiryo UI&amp;R&amp;"Meiryo UI"&amp;8 ページ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ECS health-check timing study</dc:creator>
  <dc:title xmlns:dc="http://purl.org/dc/elements/1.1/">ECS Fargate startPeriod と ALB 猶予期間</dc:title>
  <dc:description xmlns:dc="http://purl.org/dc/elements/1.1/">JBoss EAP の実測を最大値の2倍で見積もり、Fargate タスク内の4コンテナと ALB のタイマーをパターン別に計算した検討資料。フォントは Meiryo UI、色はモノトーン。</dc:description>
  <dc:subject xmlns:dc="http://purl.org/dc/elements/1.1/">startPeriod, dependsOn, healthCheckGracePeriodSeconds</dc:subject>
  <dcterms:created xmlns:dcterms="http://purl.org/dc/terms/" xmlns:xsi="http://www.w3.org/2001/XMLSchema-instance" xsi:type="dcterms:W3CDTF">2026-10-11T21:40:00Z</dcterms:created>
  <dcterms:modified xmlns:dcterms="http://purl.org/dc/terms/" xmlns:xsi="http://www.w3.org/2001/XMLSchema-instance" xsi:type="dcterms:W3CDTF">2026-10-11T21:40:01Z</dcterms:modified>
  <cp:category>設計検討</cp:category>
  <cp:keywords>ECS,Fargate,startPeriod,ALB,dependsOn,ADOT,JBoss</cp:keywords>
</cp:coreProperties>
</file>